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5"/>
    <sheet state="visible" name="Sheet1" sheetId="2" r:id="rId6"/>
    <sheet state="visible" name="Sheet3" sheetId="3" r:id="rId7"/>
  </sheets>
  <definedNames>
    <definedName hidden="1" localSheetId="1" name="_xlnm._FilterDatabase">Sheet1!$H$1:$H$1197</definedName>
  </definedNames>
  <calcPr/>
</workbook>
</file>

<file path=xl/sharedStrings.xml><?xml version="1.0" encoding="utf-8"?>
<sst xmlns="http://schemas.openxmlformats.org/spreadsheetml/2006/main" count="6335" uniqueCount="607">
  <si>
    <t>Property_ID</t>
  </si>
  <si>
    <t>Project_Name</t>
  </si>
  <si>
    <t>Location_City</t>
  </si>
  <si>
    <t>Property_Type</t>
  </si>
  <si>
    <t>Size_sqm</t>
  </si>
  <si>
    <t>Listing_Date</t>
  </si>
  <si>
    <t>Sale_Date</t>
  </si>
  <si>
    <t>Listing_Price_Naira</t>
  </si>
  <si>
    <t>Sale_Price_Naira</t>
  </si>
  <si>
    <t>Status</t>
  </si>
  <si>
    <t>Marketing_Channel</t>
  </si>
  <si>
    <t>Inquiries_Count</t>
  </si>
  <si>
    <t>Days_On_Market</t>
  </si>
  <si>
    <t>Price_per_sqm</t>
  </si>
  <si>
    <t>Year_Month</t>
  </si>
  <si>
    <t>Is_Sold</t>
  </si>
  <si>
    <t>RE1000</t>
  </si>
  <si>
    <t>Calabar Shores Phase 2</t>
  </si>
  <si>
    <t>Kano</t>
  </si>
  <si>
    <t>1 Bedroom Apartment</t>
  </si>
  <si>
    <t>Sold</t>
  </si>
  <si>
    <t>WhatsApp</t>
  </si>
  <si>
    <t>RE1001</t>
  </si>
  <si>
    <t>FCT Executive Phase 2</t>
  </si>
  <si>
    <t>Abuja</t>
  </si>
  <si>
    <t>Website</t>
  </si>
  <si>
    <t>RE1002</t>
  </si>
  <si>
    <t>Lekki Gardens Phase 2</t>
  </si>
  <si>
    <t>Lagos</t>
  </si>
  <si>
    <t>Land Plot</t>
  </si>
  <si>
    <t>Property Agent</t>
  </si>
  <si>
    <t>RE1003</t>
  </si>
  <si>
    <t>Kano Royal Estate Phase 5</t>
  </si>
  <si>
    <t>2 Bedroom Apartment</t>
  </si>
  <si>
    <t>Off-plan</t>
  </si>
  <si>
    <t>RE1004</t>
  </si>
  <si>
    <t>Ibadan Elite Homes Phase 3</t>
  </si>
  <si>
    <t>Villa</t>
  </si>
  <si>
    <t>RE1005</t>
  </si>
  <si>
    <t>Calabar Shores Phase 4</t>
  </si>
  <si>
    <t>Benin City</t>
  </si>
  <si>
    <t>Available</t>
  </si>
  <si>
    <t>Instagram</t>
  </si>
  <si>
    <t>RE1006</t>
  </si>
  <si>
    <t>Rivers Prime Homes Phase 5</t>
  </si>
  <si>
    <t>RE1007</t>
  </si>
  <si>
    <t>Lekki Gardens Phase 3</t>
  </si>
  <si>
    <t>RE1008</t>
  </si>
  <si>
    <t>Abuja Smart City Phase 2</t>
  </si>
  <si>
    <t>Office Space</t>
  </si>
  <si>
    <t>RE1009</t>
  </si>
  <si>
    <t>RE1010</t>
  </si>
  <si>
    <t>Benin Crown Homes Phase 5</t>
  </si>
  <si>
    <t>RE1011</t>
  </si>
  <si>
    <t>Kano Royal Estate Phase 1</t>
  </si>
  <si>
    <t>RE1012</t>
  </si>
  <si>
    <t>Ocean View Estate Phase 6</t>
  </si>
  <si>
    <t>Ibadan</t>
  </si>
  <si>
    <t>Shop</t>
  </si>
  <si>
    <t>RE1013</t>
  </si>
  <si>
    <t>Port Harcourt Luxury Villas Phase 1</t>
  </si>
  <si>
    <t>RE1014</t>
  </si>
  <si>
    <t>RE1015</t>
  </si>
  <si>
    <t>Calabar Shores Phase 5</t>
  </si>
  <si>
    <t>Port Harcourt</t>
  </si>
  <si>
    <t>RE1016</t>
  </si>
  <si>
    <t>Port Harcourt Luxury Villas Phase 4</t>
  </si>
  <si>
    <t>Studio Apartment</t>
  </si>
  <si>
    <t>RE1017</t>
  </si>
  <si>
    <t>Under Offer</t>
  </si>
  <si>
    <t>RE1018</t>
  </si>
  <si>
    <t>Rivers Prime Homes Phase 6</t>
  </si>
  <si>
    <t>4 Bedroom Duplex</t>
  </si>
  <si>
    <t>Facebook</t>
  </si>
  <si>
    <t>RE1019</t>
  </si>
  <si>
    <t>Benin Crown Homes Phase 3</t>
  </si>
  <si>
    <t>RE1020</t>
  </si>
  <si>
    <t>RE1021</t>
  </si>
  <si>
    <t>Lekki Gardens Phase 6</t>
  </si>
  <si>
    <t>RE1022</t>
  </si>
  <si>
    <t>Benin Crown Homes Phase 1</t>
  </si>
  <si>
    <t>Commercial Plot</t>
  </si>
  <si>
    <t>RE1023</t>
  </si>
  <si>
    <t>RE1024</t>
  </si>
  <si>
    <t>Port Harcourt Luxury Villas Phase 2</t>
  </si>
  <si>
    <t>RE1025</t>
  </si>
  <si>
    <t>Ocean View Estate Phase 5</t>
  </si>
  <si>
    <t>RE1026</t>
  </si>
  <si>
    <t>Kano Royal Estate Phase 2</t>
  </si>
  <si>
    <t>RE1027</t>
  </si>
  <si>
    <t>RE1028</t>
  </si>
  <si>
    <t>RE1029</t>
  </si>
  <si>
    <t>Calabar Shores Phase 1</t>
  </si>
  <si>
    <t>Enugu</t>
  </si>
  <si>
    <t>RE1030</t>
  </si>
  <si>
    <t>Abuja Smart City Phase 3</t>
  </si>
  <si>
    <t>RE1031</t>
  </si>
  <si>
    <t>RE1032</t>
  </si>
  <si>
    <t>RE1033</t>
  </si>
  <si>
    <t>Ocean View Estate Phase 3</t>
  </si>
  <si>
    <t>RE1034</t>
  </si>
  <si>
    <t>Calabar</t>
  </si>
  <si>
    <t>3 Bedroom Apartment</t>
  </si>
  <si>
    <t>RE1035</t>
  </si>
  <si>
    <t>Lekki Gardens Phase 4</t>
  </si>
  <si>
    <t>RE1036</t>
  </si>
  <si>
    <t>Kano Royal Estate Phase 3</t>
  </si>
  <si>
    <t>RE1037</t>
  </si>
  <si>
    <t>RE1038</t>
  </si>
  <si>
    <t>Ibadan Elite Homes Phase 5</t>
  </si>
  <si>
    <t>RE1039</t>
  </si>
  <si>
    <t>FCT Executive Phase 3</t>
  </si>
  <si>
    <t>RE1040</t>
  </si>
  <si>
    <t>Benin Crown Homes Phase 6</t>
  </si>
  <si>
    <t>RE1041</t>
  </si>
  <si>
    <t>RE1042</t>
  </si>
  <si>
    <t>RE1043</t>
  </si>
  <si>
    <t>Lekki Gardens Phase 1</t>
  </si>
  <si>
    <t>RE1044</t>
  </si>
  <si>
    <t>Benin Crown Homes Phase 4</t>
  </si>
  <si>
    <t>RE1045</t>
  </si>
  <si>
    <t>Lekki Gardens Phase 5</t>
  </si>
  <si>
    <t>RE1046</t>
  </si>
  <si>
    <t>Kano Royal Estate Phase 4</t>
  </si>
  <si>
    <t>RE1047</t>
  </si>
  <si>
    <t>RE1048</t>
  </si>
  <si>
    <t>RE1049</t>
  </si>
  <si>
    <t>RE1050</t>
  </si>
  <si>
    <t>RE1051</t>
  </si>
  <si>
    <t>Abuja Smart City Phase 1</t>
  </si>
  <si>
    <t>RE1052</t>
  </si>
  <si>
    <t>RE1053</t>
  </si>
  <si>
    <t>FCT Executive Phase 4</t>
  </si>
  <si>
    <t>RE1054</t>
  </si>
  <si>
    <t>RE1055</t>
  </si>
  <si>
    <t>Ibadan Elite Homes Phase 2</t>
  </si>
  <si>
    <t>RE1056</t>
  </si>
  <si>
    <t>Ibadan Elite Homes Phase 6</t>
  </si>
  <si>
    <t>RE1057</t>
  </si>
  <si>
    <t>FCT Executive Phase 1</t>
  </si>
  <si>
    <t>RE1058</t>
  </si>
  <si>
    <t>RE1059</t>
  </si>
  <si>
    <t>Kano Royal Estate Phase 6</t>
  </si>
  <si>
    <t>RE1060</t>
  </si>
  <si>
    <t>RE1061</t>
  </si>
  <si>
    <t>Abuja Smart City Phase 5</t>
  </si>
  <si>
    <t>RE1062</t>
  </si>
  <si>
    <t>RE1063</t>
  </si>
  <si>
    <t>RE1064</t>
  </si>
  <si>
    <t>RE1065</t>
  </si>
  <si>
    <t>RE1066</t>
  </si>
  <si>
    <t>RE1067</t>
  </si>
  <si>
    <t>RE1068</t>
  </si>
  <si>
    <t>Abuja Smart City Phase 4</t>
  </si>
  <si>
    <t>RE1069</t>
  </si>
  <si>
    <t>RE1070</t>
  </si>
  <si>
    <t>RE1071</t>
  </si>
  <si>
    <t>RE1072</t>
  </si>
  <si>
    <t>RE1073</t>
  </si>
  <si>
    <t>RE1074</t>
  </si>
  <si>
    <t>Rivers Prime Homes Phase 3</t>
  </si>
  <si>
    <t>RE1075</t>
  </si>
  <si>
    <t>RE1076</t>
  </si>
  <si>
    <t>FCT Executive Phase 6</t>
  </si>
  <si>
    <t>RE1077</t>
  </si>
  <si>
    <t>Port Harcourt Luxury Villas Phase 6</t>
  </si>
  <si>
    <t>RE1078</t>
  </si>
  <si>
    <t>RE1079</t>
  </si>
  <si>
    <t>RE1080</t>
  </si>
  <si>
    <t>RE1081</t>
  </si>
  <si>
    <t>RE1082</t>
  </si>
  <si>
    <t>RE1083</t>
  </si>
  <si>
    <t>RE1084</t>
  </si>
  <si>
    <t>Rivers Prime Homes Phase 1</t>
  </si>
  <si>
    <t>RE1085</t>
  </si>
  <si>
    <t>RE1086</t>
  </si>
  <si>
    <t>RE1087</t>
  </si>
  <si>
    <t>RE1088</t>
  </si>
  <si>
    <t>Ocean View Estate Phase 4</t>
  </si>
  <si>
    <t>RE1089</t>
  </si>
  <si>
    <t>RE1090</t>
  </si>
  <si>
    <t>RE1091</t>
  </si>
  <si>
    <t>RE1092</t>
  </si>
  <si>
    <t>FCT Executive Phase 5</t>
  </si>
  <si>
    <t>RE1093</t>
  </si>
  <si>
    <t>RE1094</t>
  </si>
  <si>
    <t>RE1095</t>
  </si>
  <si>
    <t>RE1096</t>
  </si>
  <si>
    <t>RE1097</t>
  </si>
  <si>
    <t>RE1098</t>
  </si>
  <si>
    <t>RE1099</t>
  </si>
  <si>
    <t>RE1100</t>
  </si>
  <si>
    <t>RE1101</t>
  </si>
  <si>
    <t>RE1102</t>
  </si>
  <si>
    <t>RE1103</t>
  </si>
  <si>
    <t>RE1104</t>
  </si>
  <si>
    <t>RE1105</t>
  </si>
  <si>
    <t>RE1106</t>
  </si>
  <si>
    <t>RE1107</t>
  </si>
  <si>
    <t>RE1108</t>
  </si>
  <si>
    <t>RE1109</t>
  </si>
  <si>
    <t>Port Harcourt Luxury Villas Phase 3</t>
  </si>
  <si>
    <t>RE1110</t>
  </si>
  <si>
    <t>RE1111</t>
  </si>
  <si>
    <t>Ibadan Elite Homes Phase 1</t>
  </si>
  <si>
    <t>RE1112</t>
  </si>
  <si>
    <t>RE1113</t>
  </si>
  <si>
    <t>RE1114</t>
  </si>
  <si>
    <t>Ibadan Elite Homes Phase 4</t>
  </si>
  <si>
    <t>RE1115</t>
  </si>
  <si>
    <t>RE1116</t>
  </si>
  <si>
    <t>Ocean View Estate Phase 1</t>
  </si>
  <si>
    <t>RE1117</t>
  </si>
  <si>
    <t>RE1118</t>
  </si>
  <si>
    <t>RE1119</t>
  </si>
  <si>
    <t>RE1120</t>
  </si>
  <si>
    <t>RE1121</t>
  </si>
  <si>
    <t>RE1122</t>
  </si>
  <si>
    <t>RE1123</t>
  </si>
  <si>
    <t>RE1124</t>
  </si>
  <si>
    <t>Calabar Shores Phase 6</t>
  </si>
  <si>
    <t>RE1125</t>
  </si>
  <si>
    <t>RE1126</t>
  </si>
  <si>
    <t>RE1127</t>
  </si>
  <si>
    <t>RE1128</t>
  </si>
  <si>
    <t>RE1129</t>
  </si>
  <si>
    <t>RE1130</t>
  </si>
  <si>
    <t>Ocean View Estate Phase 2</t>
  </si>
  <si>
    <t>RE1131</t>
  </si>
  <si>
    <t>RE1132</t>
  </si>
  <si>
    <t>RE1133</t>
  </si>
  <si>
    <t>RE1134</t>
  </si>
  <si>
    <t>RE1135</t>
  </si>
  <si>
    <t>RE1136</t>
  </si>
  <si>
    <t>RE1137</t>
  </si>
  <si>
    <t>RE1138</t>
  </si>
  <si>
    <t>RE1139</t>
  </si>
  <si>
    <t>RE1140</t>
  </si>
  <si>
    <t>RE1141</t>
  </si>
  <si>
    <t>RE1142</t>
  </si>
  <si>
    <t>RE1143</t>
  </si>
  <si>
    <t>RE1144</t>
  </si>
  <si>
    <t>RE1145</t>
  </si>
  <si>
    <t>RE1146</t>
  </si>
  <si>
    <t>RE1147</t>
  </si>
  <si>
    <t>RE1148</t>
  </si>
  <si>
    <t>RE1149</t>
  </si>
  <si>
    <t>RE1150</t>
  </si>
  <si>
    <t>RE1151</t>
  </si>
  <si>
    <t>RE1152</t>
  </si>
  <si>
    <t>RE1153</t>
  </si>
  <si>
    <t>RE1154</t>
  </si>
  <si>
    <t>RE1155</t>
  </si>
  <si>
    <t>RE1156</t>
  </si>
  <si>
    <t>RE1157</t>
  </si>
  <si>
    <t>RE1158</t>
  </si>
  <si>
    <t>Calabar Shores Phase 3</t>
  </si>
  <si>
    <t>RE1159</t>
  </si>
  <si>
    <t>RE1160</t>
  </si>
  <si>
    <t>RE1161</t>
  </si>
  <si>
    <t>RE1162</t>
  </si>
  <si>
    <t>RE1163</t>
  </si>
  <si>
    <t>RE1164</t>
  </si>
  <si>
    <t>RE1165</t>
  </si>
  <si>
    <t>RE1166</t>
  </si>
  <si>
    <t>Rivers Prime Homes Phase 2</t>
  </si>
  <si>
    <t>RE1167</t>
  </si>
  <si>
    <t>RE1168</t>
  </si>
  <si>
    <t>RE1169</t>
  </si>
  <si>
    <t>RE1170</t>
  </si>
  <si>
    <t>RE1171</t>
  </si>
  <si>
    <t>RE1172</t>
  </si>
  <si>
    <t>RE1173</t>
  </si>
  <si>
    <t>RE1174</t>
  </si>
  <si>
    <t>RE1175</t>
  </si>
  <si>
    <t>Port Harcourt Luxury Villas Phase 5</t>
  </si>
  <si>
    <t>RE1176</t>
  </si>
  <si>
    <t>RE1177</t>
  </si>
  <si>
    <t>RE1178</t>
  </si>
  <si>
    <t>RE1179</t>
  </si>
  <si>
    <t>RE1180</t>
  </si>
  <si>
    <t>RE1181</t>
  </si>
  <si>
    <t>RE1182</t>
  </si>
  <si>
    <t>RE1183</t>
  </si>
  <si>
    <t>Rivers Prime Homes Phase 4</t>
  </si>
  <si>
    <t>RE1184</t>
  </si>
  <si>
    <t>RE1185</t>
  </si>
  <si>
    <t>RE1186</t>
  </si>
  <si>
    <t>RE1187</t>
  </si>
  <si>
    <t>RE1188</t>
  </si>
  <si>
    <t>RE1189</t>
  </si>
  <si>
    <t>RE1190</t>
  </si>
  <si>
    <t>RE1191</t>
  </si>
  <si>
    <t>RE1192</t>
  </si>
  <si>
    <t>RE1193</t>
  </si>
  <si>
    <t>RE1194</t>
  </si>
  <si>
    <t>RE1195</t>
  </si>
  <si>
    <t>RE1196</t>
  </si>
  <si>
    <t>RE1197</t>
  </si>
  <si>
    <t>RE1198</t>
  </si>
  <si>
    <t>RE1199</t>
  </si>
  <si>
    <t>RE1200</t>
  </si>
  <si>
    <t>RE1201</t>
  </si>
  <si>
    <t>RE1202</t>
  </si>
  <si>
    <t>RE1203</t>
  </si>
  <si>
    <t>RE1204</t>
  </si>
  <si>
    <t>RE1205</t>
  </si>
  <si>
    <t>RE1206</t>
  </si>
  <si>
    <t>RE1207</t>
  </si>
  <si>
    <t>RE1208</t>
  </si>
  <si>
    <t>RE1209</t>
  </si>
  <si>
    <t>RE1210</t>
  </si>
  <si>
    <t>RE1211</t>
  </si>
  <si>
    <t>RE1212</t>
  </si>
  <si>
    <t>RE1213</t>
  </si>
  <si>
    <t>RE1214</t>
  </si>
  <si>
    <t>RE1215</t>
  </si>
  <si>
    <t>RE1216</t>
  </si>
  <si>
    <t>RE1217</t>
  </si>
  <si>
    <t>RE1218</t>
  </si>
  <si>
    <t>RE1219</t>
  </si>
  <si>
    <t>RE1220</t>
  </si>
  <si>
    <t>RE1221</t>
  </si>
  <si>
    <t>Benin Crown Homes Phase 2</t>
  </si>
  <si>
    <t>RE1222</t>
  </si>
  <si>
    <t>RE1223</t>
  </si>
  <si>
    <t>RE1224</t>
  </si>
  <si>
    <t>RE1225</t>
  </si>
  <si>
    <t>RE1226</t>
  </si>
  <si>
    <t>RE1227</t>
  </si>
  <si>
    <t>RE1228</t>
  </si>
  <si>
    <t>RE1229</t>
  </si>
  <si>
    <t>RE1230</t>
  </si>
  <si>
    <t>RE1231</t>
  </si>
  <si>
    <t>RE1232</t>
  </si>
  <si>
    <t>RE1233</t>
  </si>
  <si>
    <t>RE1234</t>
  </si>
  <si>
    <t>RE1235</t>
  </si>
  <si>
    <t>RE1236</t>
  </si>
  <si>
    <t>RE1237</t>
  </si>
  <si>
    <t>RE1238</t>
  </si>
  <si>
    <t>RE1239</t>
  </si>
  <si>
    <t>RE1240</t>
  </si>
  <si>
    <t>RE1241</t>
  </si>
  <si>
    <t>RE1242</t>
  </si>
  <si>
    <t>RE1243</t>
  </si>
  <si>
    <t>RE1244</t>
  </si>
  <si>
    <t>RE1245</t>
  </si>
  <si>
    <t>RE1246</t>
  </si>
  <si>
    <t>Abuja Smart City Phase 6</t>
  </si>
  <si>
    <t>RE1247</t>
  </si>
  <si>
    <t>RE1248</t>
  </si>
  <si>
    <t>RE1249</t>
  </si>
  <si>
    <t>RE1250</t>
  </si>
  <si>
    <t>RE1251</t>
  </si>
  <si>
    <t>RE1252</t>
  </si>
  <si>
    <t>RE1253</t>
  </si>
  <si>
    <t>RE1254</t>
  </si>
  <si>
    <t>RE1255</t>
  </si>
  <si>
    <t>RE1256</t>
  </si>
  <si>
    <t>RE1257</t>
  </si>
  <si>
    <t>RE1258</t>
  </si>
  <si>
    <t>RE1259</t>
  </si>
  <si>
    <t>RE1260</t>
  </si>
  <si>
    <t>RE1261</t>
  </si>
  <si>
    <t>RE1262</t>
  </si>
  <si>
    <t>RE1263</t>
  </si>
  <si>
    <t>RE1264</t>
  </si>
  <si>
    <t>RE1265</t>
  </si>
  <si>
    <t>RE1266</t>
  </si>
  <si>
    <t>RE1267</t>
  </si>
  <si>
    <t>RE1268</t>
  </si>
  <si>
    <t>RE1269</t>
  </si>
  <si>
    <t>RE1270</t>
  </si>
  <si>
    <t>RE1271</t>
  </si>
  <si>
    <t>RE1272</t>
  </si>
  <si>
    <t>RE1273</t>
  </si>
  <si>
    <t>RE1274</t>
  </si>
  <si>
    <t>RE1275</t>
  </si>
  <si>
    <t>RE1276</t>
  </si>
  <si>
    <t>RE1277</t>
  </si>
  <si>
    <t>RE1278</t>
  </si>
  <si>
    <t>RE1279</t>
  </si>
  <si>
    <t>RE1280</t>
  </si>
  <si>
    <t>RE1281</t>
  </si>
  <si>
    <t>RE1282</t>
  </si>
  <si>
    <t>RE1283</t>
  </si>
  <si>
    <t>RE1284</t>
  </si>
  <si>
    <t>RE1285</t>
  </si>
  <si>
    <t>RE1286</t>
  </si>
  <si>
    <t>RE1287</t>
  </si>
  <si>
    <t>RE1288</t>
  </si>
  <si>
    <t>RE1289</t>
  </si>
  <si>
    <t>RE1290</t>
  </si>
  <si>
    <t>RE1291</t>
  </si>
  <si>
    <t>RE1292</t>
  </si>
  <si>
    <t>RE1293</t>
  </si>
  <si>
    <t>RE1294</t>
  </si>
  <si>
    <t>RE1295</t>
  </si>
  <si>
    <t>RE1296</t>
  </si>
  <si>
    <t>RE1297</t>
  </si>
  <si>
    <t>RE1298</t>
  </si>
  <si>
    <t>RE1299</t>
  </si>
  <si>
    <t>RE1300</t>
  </si>
  <si>
    <t>RE1301</t>
  </si>
  <si>
    <t>RE1302</t>
  </si>
  <si>
    <t>RE1303</t>
  </si>
  <si>
    <t>RE1304</t>
  </si>
  <si>
    <t>RE1305</t>
  </si>
  <si>
    <t>RE1306</t>
  </si>
  <si>
    <t>RE1307</t>
  </si>
  <si>
    <t>RE1308</t>
  </si>
  <si>
    <t>RE1309</t>
  </si>
  <si>
    <t>RE1310</t>
  </si>
  <si>
    <t xml:space="preserve"> </t>
  </si>
  <si>
    <t>RE1311</t>
  </si>
  <si>
    <t>RE1312</t>
  </si>
  <si>
    <t>RE1313</t>
  </si>
  <si>
    <t>RE1314</t>
  </si>
  <si>
    <t>RE1315</t>
  </si>
  <si>
    <t>RE1316</t>
  </si>
  <si>
    <t>RE1317</t>
  </si>
  <si>
    <t>RE1318</t>
  </si>
  <si>
    <t>RE1319</t>
  </si>
  <si>
    <t>RE1320</t>
  </si>
  <si>
    <t>RE1321</t>
  </si>
  <si>
    <t>RE1322</t>
  </si>
  <si>
    <t>RE1323</t>
  </si>
  <si>
    <t>RE1324</t>
  </si>
  <si>
    <t>RE1325</t>
  </si>
  <si>
    <t>RE1326</t>
  </si>
  <si>
    <t>RE1327</t>
  </si>
  <si>
    <t>RE1328</t>
  </si>
  <si>
    <t>RE1329</t>
  </si>
  <si>
    <t>RE1330</t>
  </si>
  <si>
    <t>RE1331</t>
  </si>
  <si>
    <t>RE1332</t>
  </si>
  <si>
    <t>RE1333</t>
  </si>
  <si>
    <t>RE1334</t>
  </si>
  <si>
    <t>RE1335</t>
  </si>
  <si>
    <t>RE1336</t>
  </si>
  <si>
    <t>RE1337</t>
  </si>
  <si>
    <t>RE1338</t>
  </si>
  <si>
    <t>RE1339</t>
  </si>
  <si>
    <t>RE1340</t>
  </si>
  <si>
    <t>RE1341</t>
  </si>
  <si>
    <t>RE1342</t>
  </si>
  <si>
    <t>RE1343</t>
  </si>
  <si>
    <t>RE1344</t>
  </si>
  <si>
    <t>RE1345</t>
  </si>
  <si>
    <t>RE1346</t>
  </si>
  <si>
    <t>RE1347</t>
  </si>
  <si>
    <t>RE1348</t>
  </si>
  <si>
    <t>RE1349</t>
  </si>
  <si>
    <t>RE1350</t>
  </si>
  <si>
    <t>RE1351</t>
  </si>
  <si>
    <t>RE1352</t>
  </si>
  <si>
    <t>RE1353</t>
  </si>
  <si>
    <t>RE1354</t>
  </si>
  <si>
    <t>RE1355</t>
  </si>
  <si>
    <t>RE1356</t>
  </si>
  <si>
    <t>RE1357</t>
  </si>
  <si>
    <t>RE1358</t>
  </si>
  <si>
    <t>RE1359</t>
  </si>
  <si>
    <t>RE1360</t>
  </si>
  <si>
    <t>RE1361</t>
  </si>
  <si>
    <t>RE1362</t>
  </si>
  <si>
    <t>RE1363</t>
  </si>
  <si>
    <t>RE1364</t>
  </si>
  <si>
    <t>RE1365</t>
  </si>
  <si>
    <t>RE1366</t>
  </si>
  <si>
    <t>RE1367</t>
  </si>
  <si>
    <t>RE1368</t>
  </si>
  <si>
    <t>RE1369</t>
  </si>
  <si>
    <t>RE1370</t>
  </si>
  <si>
    <t>RE1371</t>
  </si>
  <si>
    <t>RE1372</t>
  </si>
  <si>
    <t>RE1373</t>
  </si>
  <si>
    <t>RE1374</t>
  </si>
  <si>
    <t>RE1375</t>
  </si>
  <si>
    <t>RE1376</t>
  </si>
  <si>
    <t>RE1377</t>
  </si>
  <si>
    <t>RE1378</t>
  </si>
  <si>
    <t>RE1379</t>
  </si>
  <si>
    <t>RE1380</t>
  </si>
  <si>
    <t>RE1381</t>
  </si>
  <si>
    <t>RE1382</t>
  </si>
  <si>
    <t>RE1383</t>
  </si>
  <si>
    <t>RE1384</t>
  </si>
  <si>
    <t>RE1385</t>
  </si>
  <si>
    <t>RE1386</t>
  </si>
  <si>
    <t>RE1387</t>
  </si>
  <si>
    <t>RE1388</t>
  </si>
  <si>
    <t>RE1389</t>
  </si>
  <si>
    <t>RE1390</t>
  </si>
  <si>
    <t>RE1391</t>
  </si>
  <si>
    <t>RE1392</t>
  </si>
  <si>
    <t>RE1393</t>
  </si>
  <si>
    <t>RE1394</t>
  </si>
  <si>
    <t>RE1395</t>
  </si>
  <si>
    <t>RE1396</t>
  </si>
  <si>
    <t>RE1397</t>
  </si>
  <si>
    <t>RE1398</t>
  </si>
  <si>
    <t>RE1399</t>
  </si>
  <si>
    <t>RE1400</t>
  </si>
  <si>
    <t>RE1401</t>
  </si>
  <si>
    <t>RE1402</t>
  </si>
  <si>
    <t>RE1403</t>
  </si>
  <si>
    <t>RE1404</t>
  </si>
  <si>
    <t>RE1405</t>
  </si>
  <si>
    <t>RE1406</t>
  </si>
  <si>
    <t>RE1407</t>
  </si>
  <si>
    <t>RE1408</t>
  </si>
  <si>
    <t>RE1409</t>
  </si>
  <si>
    <t>RE1410</t>
  </si>
  <si>
    <t>RE1411</t>
  </si>
  <si>
    <t>RE1412</t>
  </si>
  <si>
    <t>RE1413</t>
  </si>
  <si>
    <t>RE1414</t>
  </si>
  <si>
    <t>RE1415</t>
  </si>
  <si>
    <t>RE1416</t>
  </si>
  <si>
    <t>RE1417</t>
  </si>
  <si>
    <t>RE1418</t>
  </si>
  <si>
    <t>RE1419</t>
  </si>
  <si>
    <t>RE1420</t>
  </si>
  <si>
    <t>RE1421</t>
  </si>
  <si>
    <t>RE1422</t>
  </si>
  <si>
    <t>RE1423</t>
  </si>
  <si>
    <t>RE1424</t>
  </si>
  <si>
    <t>RE1425</t>
  </si>
  <si>
    <t>RE1426</t>
  </si>
  <si>
    <t>RE1427</t>
  </si>
  <si>
    <t>RE1428</t>
  </si>
  <si>
    <t>RE1429</t>
  </si>
  <si>
    <t>RE1430</t>
  </si>
  <si>
    <t>RE1431</t>
  </si>
  <si>
    <t>RE1432</t>
  </si>
  <si>
    <t>RE1433</t>
  </si>
  <si>
    <t>RE1434</t>
  </si>
  <si>
    <t>RE1435</t>
  </si>
  <si>
    <t>RE1436</t>
  </si>
  <si>
    <t>RE1437</t>
  </si>
  <si>
    <t>RE1438</t>
  </si>
  <si>
    <t>RE1439</t>
  </si>
  <si>
    <t>RE1440</t>
  </si>
  <si>
    <t>RE1441</t>
  </si>
  <si>
    <t>RE1442</t>
  </si>
  <si>
    <t>RE1443</t>
  </si>
  <si>
    <t>RE1444</t>
  </si>
  <si>
    <t>RE1445</t>
  </si>
  <si>
    <t>RE1446</t>
  </si>
  <si>
    <t>RE1447</t>
  </si>
  <si>
    <t>RE1448</t>
  </si>
  <si>
    <t>RE1449</t>
  </si>
  <si>
    <t>RE1450</t>
  </si>
  <si>
    <t>RE1451</t>
  </si>
  <si>
    <t>RE1452</t>
  </si>
  <si>
    <t>RE1453</t>
  </si>
  <si>
    <t>RE1454</t>
  </si>
  <si>
    <t>RE1455</t>
  </si>
  <si>
    <t>RE1456</t>
  </si>
  <si>
    <t>RE1457</t>
  </si>
  <si>
    <t>RE1458</t>
  </si>
  <si>
    <t>RE1459</t>
  </si>
  <si>
    <t>RE1460</t>
  </si>
  <si>
    <t>RE1461</t>
  </si>
  <si>
    <t>RE1462</t>
  </si>
  <si>
    <t>RE1463</t>
  </si>
  <si>
    <t>RE1464</t>
  </si>
  <si>
    <t>RE1465</t>
  </si>
  <si>
    <t>RE1466</t>
  </si>
  <si>
    <t>RE1467</t>
  </si>
  <si>
    <t>RE1468</t>
  </si>
  <si>
    <t>RE1469</t>
  </si>
  <si>
    <t>RE1470</t>
  </si>
  <si>
    <t>RE1471</t>
  </si>
  <si>
    <t>RE1472</t>
  </si>
  <si>
    <t>RE1473</t>
  </si>
  <si>
    <t>RE1474</t>
  </si>
  <si>
    <t>RE1475</t>
  </si>
  <si>
    <t>RE1476</t>
  </si>
  <si>
    <t>RE1477</t>
  </si>
  <si>
    <t>RE1478</t>
  </si>
  <si>
    <t>RE1479</t>
  </si>
  <si>
    <t>RE1480</t>
  </si>
  <si>
    <t>RE1481</t>
  </si>
  <si>
    <t>RE1482</t>
  </si>
  <si>
    <t>RE1483</t>
  </si>
  <si>
    <t>RE1484</t>
  </si>
  <si>
    <t>RE1485</t>
  </si>
  <si>
    <t>RE1486</t>
  </si>
  <si>
    <t>RE1487</t>
  </si>
  <si>
    <t>RE1488</t>
  </si>
  <si>
    <t>RE1489</t>
  </si>
  <si>
    <t>RE1490</t>
  </si>
  <si>
    <t>RE1491</t>
  </si>
  <si>
    <t>RE1492</t>
  </si>
  <si>
    <t>RE1493</t>
  </si>
  <si>
    <t>RE1494</t>
  </si>
  <si>
    <t>RE1495</t>
  </si>
  <si>
    <t>RE1496</t>
  </si>
  <si>
    <t>RE1497</t>
  </si>
  <si>
    <t>RE1498</t>
  </si>
  <si>
    <t>RE1499</t>
  </si>
  <si>
    <t>Listing_price_Naira</t>
  </si>
  <si>
    <t>Year_month</t>
  </si>
  <si>
    <t>IS_SOLD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</si>
</sst>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Google Sans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2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7.38"/>
    <col customWidth="1" min="4" max="4" width="17.25"/>
    <col customWidth="1" min="7" max="7" width="10.25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89.0</v>
      </c>
      <c r="F2" s="3">
        <v>45155.0</v>
      </c>
      <c r="G2" s="3">
        <v>45196.0</v>
      </c>
      <c r="H2" s="2">
        <v>1.6803472E7</v>
      </c>
      <c r="I2" s="2">
        <v>1.7857868E7</v>
      </c>
      <c r="J2" s="2" t="s">
        <v>20</v>
      </c>
      <c r="K2" s="2" t="s">
        <v>21</v>
      </c>
      <c r="L2" s="2">
        <v>156.0</v>
      </c>
      <c r="M2" s="2">
        <v>41.0</v>
      </c>
      <c r="N2" s="4">
        <v>266722.0</v>
      </c>
      <c r="O2" s="4">
        <v>45139.0</v>
      </c>
      <c r="P2" s="2" t="b">
        <v>1</v>
      </c>
      <c r="Q2" s="4">
        <f>IFERROR(__xludf.DUMMYFUNCTION("IF(ISDATE(O2),O2,L2)"),45139.0)</f>
        <v>45139</v>
      </c>
      <c r="R2" s="5">
        <v>156.0</v>
      </c>
      <c r="T2" s="4">
        <v>45139.0</v>
      </c>
    </row>
    <row r="3">
      <c r="A3" s="2" t="s">
        <v>22</v>
      </c>
      <c r="B3" s="2" t="s">
        <v>23</v>
      </c>
      <c r="C3" s="2" t="s">
        <v>24</v>
      </c>
      <c r="D3" s="2" t="s">
        <v>19</v>
      </c>
      <c r="E3" s="2">
        <v>628.0</v>
      </c>
      <c r="F3" s="3">
        <v>45444.0</v>
      </c>
      <c r="G3" s="3">
        <v>45602.0</v>
      </c>
      <c r="H3" s="2">
        <v>2.1569861E7</v>
      </c>
      <c r="I3" s="2">
        <v>2.2087138E7</v>
      </c>
      <c r="J3" s="2" t="s">
        <v>20</v>
      </c>
      <c r="K3" s="2" t="s">
        <v>25</v>
      </c>
      <c r="L3" s="2">
        <v>112.0</v>
      </c>
      <c r="M3" s="2">
        <v>158.0</v>
      </c>
      <c r="N3" s="4">
        <v>513568.0</v>
      </c>
      <c r="O3" s="4">
        <v>45444.0</v>
      </c>
      <c r="P3" s="2" t="b">
        <v>1</v>
      </c>
      <c r="Q3" s="4">
        <f>IFERROR(__xludf.DUMMYFUNCTION("IF(ISDATE(O3),O3,L3)"),45444.0)</f>
        <v>45444</v>
      </c>
      <c r="R3" s="2">
        <v>112.0</v>
      </c>
      <c r="T3" s="4">
        <v>45444.0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>
        <v>283.0</v>
      </c>
      <c r="F4" s="3">
        <v>45641.0</v>
      </c>
      <c r="G4" s="3">
        <v>45727.0</v>
      </c>
      <c r="H4" s="2">
        <v>9.34389987E8</v>
      </c>
      <c r="I4" s="2">
        <v>1.002744437E9</v>
      </c>
      <c r="J4" s="2" t="s">
        <v>20</v>
      </c>
      <c r="K4" s="2" t="s">
        <v>30</v>
      </c>
      <c r="L4" s="2">
        <v>31.0</v>
      </c>
      <c r="M4" s="2">
        <v>86.0</v>
      </c>
      <c r="N4" s="4">
        <v>348913.0</v>
      </c>
      <c r="O4" s="6">
        <v>45627.0</v>
      </c>
      <c r="P4" s="2" t="b">
        <v>1</v>
      </c>
      <c r="Q4" s="6">
        <f>IFERROR(__xludf.DUMMYFUNCTION("IF(ISDATE(O4),O4,L4)"),45627.0)</f>
        <v>45627</v>
      </c>
      <c r="R4" s="2">
        <v>31.0</v>
      </c>
      <c r="T4" s="6">
        <v>45627.0</v>
      </c>
    </row>
    <row r="5">
      <c r="A5" s="2" t="s">
        <v>31</v>
      </c>
      <c r="B5" s="2" t="s">
        <v>32</v>
      </c>
      <c r="C5" s="2" t="s">
        <v>28</v>
      </c>
      <c r="D5" s="2" t="s">
        <v>33</v>
      </c>
      <c r="E5" s="2">
        <v>294.0</v>
      </c>
      <c r="F5" s="3">
        <v>45197.0</v>
      </c>
      <c r="I5" s="2">
        <v>7.6447287E7</v>
      </c>
      <c r="J5" s="2" t="s">
        <v>34</v>
      </c>
      <c r="K5" s="2" t="s">
        <v>21</v>
      </c>
      <c r="L5" s="7">
        <v>101.0</v>
      </c>
      <c r="M5" s="7">
        <v>100.0</v>
      </c>
      <c r="N5" s="2">
        <v>878704.0</v>
      </c>
      <c r="O5" s="4">
        <v>45170.0</v>
      </c>
      <c r="P5" s="2" t="b">
        <v>0</v>
      </c>
      <c r="Q5" s="4">
        <f>IFERROR(__xludf.DUMMYFUNCTION("IF(ISDATE(O5),O5,L5)"),45170.0)</f>
        <v>45170</v>
      </c>
      <c r="R5" s="2">
        <v>101.0</v>
      </c>
      <c r="T5" s="4">
        <v>45170.0</v>
      </c>
    </row>
    <row r="6">
      <c r="A6" s="2" t="s">
        <v>35</v>
      </c>
      <c r="B6" s="2" t="s">
        <v>36</v>
      </c>
      <c r="C6" s="2" t="s">
        <v>28</v>
      </c>
      <c r="D6" s="2" t="s">
        <v>37</v>
      </c>
      <c r="E6" s="2">
        <v>1045.0</v>
      </c>
      <c r="F6" s="3">
        <v>45518.0</v>
      </c>
      <c r="G6" s="3">
        <v>45550.0</v>
      </c>
      <c r="H6" s="2">
        <v>1.008365292E9</v>
      </c>
      <c r="I6" s="2">
        <v>9.64464822E8</v>
      </c>
      <c r="J6" s="2" t="s">
        <v>20</v>
      </c>
      <c r="K6" s="2" t="s">
        <v>30</v>
      </c>
      <c r="L6" s="2">
        <v>25.0</v>
      </c>
      <c r="M6" s="2">
        <v>32.0</v>
      </c>
      <c r="N6" s="4">
        <v>1623777.0</v>
      </c>
      <c r="O6" s="4">
        <v>45505.0</v>
      </c>
      <c r="P6" s="2" t="b">
        <v>1</v>
      </c>
      <c r="Q6" s="4">
        <f>IFERROR(__xludf.DUMMYFUNCTION("IF(ISDATE(O6),O6,L6)"),45505.0)</f>
        <v>45505</v>
      </c>
      <c r="R6" s="2">
        <v>25.0</v>
      </c>
      <c r="T6" s="4">
        <v>45505.0</v>
      </c>
    </row>
    <row r="7">
      <c r="A7" s="2" t="s">
        <v>38</v>
      </c>
      <c r="B7" s="2" t="s">
        <v>39</v>
      </c>
      <c r="C7" s="2" t="s">
        <v>40</v>
      </c>
      <c r="D7" s="2" t="s">
        <v>33</v>
      </c>
      <c r="E7" s="2">
        <v>92.0</v>
      </c>
      <c r="F7" s="3">
        <v>45577.0</v>
      </c>
      <c r="I7" s="2">
        <v>2.220711E7</v>
      </c>
      <c r="J7" s="2" t="s">
        <v>41</v>
      </c>
      <c r="K7" s="2" t="s">
        <v>42</v>
      </c>
      <c r="M7" s="2">
        <v>176.0</v>
      </c>
      <c r="N7" s="2">
        <v>249518.0</v>
      </c>
      <c r="O7" s="6">
        <v>45566.0</v>
      </c>
      <c r="P7" s="2" t="b">
        <v>0</v>
      </c>
      <c r="Q7" s="6">
        <f>IFERROR(__xludf.DUMMYFUNCTION("IF(ISDATE(O7),O7,L7)"),45566.0)</f>
        <v>45566</v>
      </c>
      <c r="T7" s="6">
        <v>45566.0</v>
      </c>
    </row>
    <row r="8">
      <c r="A8" s="2" t="s">
        <v>43</v>
      </c>
      <c r="B8" s="2" t="s">
        <v>44</v>
      </c>
      <c r="C8" s="2" t="s">
        <v>24</v>
      </c>
      <c r="D8" s="2" t="s">
        <v>33</v>
      </c>
      <c r="E8" s="2">
        <v>39.0</v>
      </c>
      <c r="F8" s="3">
        <v>45673.0</v>
      </c>
      <c r="G8" s="3">
        <v>45806.0</v>
      </c>
      <c r="H8" s="2">
        <v>6.7069316E7</v>
      </c>
      <c r="I8" s="2">
        <v>7.2322435E7</v>
      </c>
      <c r="J8" s="2" t="s">
        <v>20</v>
      </c>
      <c r="K8" s="2" t="s">
        <v>25</v>
      </c>
      <c r="L8" s="2">
        <v>61.0</v>
      </c>
      <c r="M8" s="2">
        <v>133.0</v>
      </c>
      <c r="N8" s="4">
        <v>651158.0</v>
      </c>
      <c r="O8" s="4">
        <v>45658.0</v>
      </c>
      <c r="P8" s="2" t="b">
        <v>1</v>
      </c>
      <c r="Q8" s="4">
        <f>IFERROR(__xludf.DUMMYFUNCTION("IF(ISDATE(O8),O8,L8)"),45658.0)</f>
        <v>45658</v>
      </c>
      <c r="R8" s="2">
        <v>61.0</v>
      </c>
      <c r="T8" s="4">
        <v>45658.0</v>
      </c>
    </row>
    <row r="9">
      <c r="A9" s="2" t="s">
        <v>45</v>
      </c>
      <c r="B9" s="2" t="s">
        <v>46</v>
      </c>
      <c r="C9" s="2" t="s">
        <v>18</v>
      </c>
      <c r="D9" s="2" t="s">
        <v>19</v>
      </c>
      <c r="E9" s="2">
        <v>110.0</v>
      </c>
      <c r="F9" s="3">
        <v>45337.0</v>
      </c>
      <c r="G9" s="3">
        <v>45406.0</v>
      </c>
      <c r="H9" s="2">
        <v>1.3593836E7</v>
      </c>
      <c r="I9" s="2">
        <v>1.3739953E7</v>
      </c>
      <c r="J9" s="2" t="s">
        <v>20</v>
      </c>
      <c r="K9" s="2" t="s">
        <v>30</v>
      </c>
      <c r="L9" s="2">
        <v>59.0</v>
      </c>
      <c r="M9" s="2">
        <v>69.0</v>
      </c>
      <c r="N9" s="4">
        <v>289231.0</v>
      </c>
      <c r="O9" s="4">
        <v>45323.0</v>
      </c>
      <c r="P9" s="2" t="b">
        <v>1</v>
      </c>
      <c r="Q9" s="4">
        <f>IFERROR(__xludf.DUMMYFUNCTION("IF(ISDATE(O9),O9,L9)"),45323.0)</f>
        <v>45323</v>
      </c>
      <c r="R9" s="2">
        <v>59.0</v>
      </c>
      <c r="T9" s="4">
        <v>45323.0</v>
      </c>
    </row>
    <row r="10">
      <c r="A10" s="2" t="s">
        <v>47</v>
      </c>
      <c r="B10" s="2" t="s">
        <v>48</v>
      </c>
      <c r="C10" s="2" t="s">
        <v>18</v>
      </c>
      <c r="D10" s="2" t="s">
        <v>49</v>
      </c>
      <c r="E10" s="2">
        <v>404.0</v>
      </c>
      <c r="F10" s="3">
        <v>45198.0</v>
      </c>
      <c r="G10" s="3">
        <v>45403.0</v>
      </c>
      <c r="H10" s="2">
        <v>1.16257416E8</v>
      </c>
      <c r="I10" s="2">
        <v>1.11844128E8</v>
      </c>
      <c r="J10" s="2" t="s">
        <v>20</v>
      </c>
      <c r="K10" s="2" t="s">
        <v>25</v>
      </c>
      <c r="L10" s="2">
        <v>114.0</v>
      </c>
      <c r="M10" s="2">
        <v>205.0</v>
      </c>
      <c r="N10" s="4">
        <v>421223.0</v>
      </c>
      <c r="O10" s="4">
        <v>45170.0</v>
      </c>
      <c r="P10" s="2" t="b">
        <v>1</v>
      </c>
      <c r="Q10" s="4">
        <f>IFERROR(__xludf.DUMMYFUNCTION("IF(ISDATE(O10),O10,L10)"),45170.0)</f>
        <v>45170</v>
      </c>
      <c r="R10" s="2">
        <v>114.0</v>
      </c>
      <c r="T10" s="4">
        <v>45170.0</v>
      </c>
    </row>
    <row r="11">
      <c r="A11" s="2" t="s">
        <v>50</v>
      </c>
      <c r="B11" s="2" t="s">
        <v>23</v>
      </c>
      <c r="C11" s="2" t="s">
        <v>40</v>
      </c>
      <c r="D11" s="2" t="s">
        <v>49</v>
      </c>
      <c r="E11" s="2">
        <v>1219.0</v>
      </c>
      <c r="F11" s="3">
        <v>45448.0</v>
      </c>
      <c r="G11" s="3">
        <v>45656.0</v>
      </c>
      <c r="H11" s="2">
        <v>4.3181673E7</v>
      </c>
      <c r="I11" s="2">
        <v>4.0484712E7</v>
      </c>
      <c r="J11" s="2" t="s">
        <v>20</v>
      </c>
      <c r="K11" s="2" t="s">
        <v>42</v>
      </c>
      <c r="L11" s="2">
        <v>179.0</v>
      </c>
      <c r="M11" s="2">
        <v>208.0</v>
      </c>
      <c r="N11" s="4">
        <v>304096.0</v>
      </c>
      <c r="O11" s="4">
        <v>45444.0</v>
      </c>
      <c r="P11" s="2" t="b">
        <v>1</v>
      </c>
      <c r="Q11" s="4">
        <f>IFERROR(__xludf.DUMMYFUNCTION("IF(ISDATE(O11),O11,L11)"),45444.0)</f>
        <v>45444</v>
      </c>
      <c r="R11" s="2">
        <v>179.0</v>
      </c>
      <c r="T11" s="4">
        <v>45444.0</v>
      </c>
    </row>
    <row r="12">
      <c r="A12" s="2" t="s">
        <v>51</v>
      </c>
      <c r="B12" s="2" t="s">
        <v>52</v>
      </c>
      <c r="C12" s="2" t="s">
        <v>24</v>
      </c>
      <c r="D12" s="2" t="s">
        <v>33</v>
      </c>
      <c r="E12" s="2">
        <v>89.0</v>
      </c>
      <c r="F12" s="3">
        <v>45406.0</v>
      </c>
      <c r="G12" s="3">
        <v>45562.0</v>
      </c>
      <c r="H12" s="2">
        <v>6.9090942E7</v>
      </c>
      <c r="I12" s="2">
        <v>6.3690584E7</v>
      </c>
      <c r="J12" s="2" t="s">
        <v>20</v>
      </c>
      <c r="K12" s="2" t="s">
        <v>21</v>
      </c>
      <c r="L12" s="2">
        <v>179.0</v>
      </c>
      <c r="M12" s="2">
        <v>156.0</v>
      </c>
      <c r="N12" s="2">
        <v>776303.0</v>
      </c>
      <c r="O12" s="4">
        <v>45383.0</v>
      </c>
      <c r="P12" s="2" t="b">
        <v>1</v>
      </c>
      <c r="Q12" s="4">
        <f>IFERROR(__xludf.DUMMYFUNCTION("IF(ISDATE(O12),O12,L12)"),45383.0)</f>
        <v>45383</v>
      </c>
      <c r="R12" s="2">
        <v>179.0</v>
      </c>
      <c r="T12" s="4">
        <v>45383.0</v>
      </c>
    </row>
    <row r="13">
      <c r="A13" s="2" t="s">
        <v>53</v>
      </c>
      <c r="B13" s="2" t="s">
        <v>54</v>
      </c>
      <c r="C13" s="2" t="s">
        <v>40</v>
      </c>
      <c r="D13" s="2" t="s">
        <v>37</v>
      </c>
      <c r="E13" s="2">
        <v>628.0</v>
      </c>
      <c r="F13" s="3">
        <v>45227.0</v>
      </c>
      <c r="G13" s="3">
        <v>45358.0</v>
      </c>
      <c r="H13" s="2">
        <v>2.94038372E8</v>
      </c>
      <c r="I13" s="2">
        <v>3.04486946E8</v>
      </c>
      <c r="J13" s="2" t="s">
        <v>20</v>
      </c>
      <c r="K13" s="2" t="s">
        <v>30</v>
      </c>
      <c r="L13" s="2">
        <v>133.0</v>
      </c>
      <c r="M13" s="2">
        <v>131.0</v>
      </c>
      <c r="N13" s="2">
        <v>468214.0</v>
      </c>
      <c r="O13" s="6">
        <v>45200.0</v>
      </c>
      <c r="P13" s="2" t="b">
        <v>1</v>
      </c>
      <c r="Q13" s="6">
        <f>IFERROR(__xludf.DUMMYFUNCTION("IF(ISDATE(O13),O13,L13)"),45200.0)</f>
        <v>45200</v>
      </c>
      <c r="R13" s="2">
        <v>133.0</v>
      </c>
      <c r="T13" s="6">
        <v>45200.0</v>
      </c>
    </row>
    <row r="14">
      <c r="A14" s="2" t="s">
        <v>55</v>
      </c>
      <c r="B14" s="2" t="s">
        <v>56</v>
      </c>
      <c r="C14" s="2" t="s">
        <v>57</v>
      </c>
      <c r="D14" s="2" t="s">
        <v>58</v>
      </c>
      <c r="E14" s="2">
        <v>283.0</v>
      </c>
      <c r="F14" s="3">
        <v>45232.0</v>
      </c>
      <c r="I14" s="2">
        <v>1.0893887E8</v>
      </c>
      <c r="J14" s="2" t="s">
        <v>34</v>
      </c>
      <c r="K14" s="2" t="s">
        <v>42</v>
      </c>
      <c r="M14" s="2">
        <v>100.0</v>
      </c>
      <c r="N14" s="2">
        <v>384943.0</v>
      </c>
      <c r="O14" s="6">
        <v>45231.0</v>
      </c>
      <c r="P14" s="2" t="b">
        <v>0</v>
      </c>
      <c r="Q14" s="6">
        <f>IFERROR(__xludf.DUMMYFUNCTION("IF(ISDATE(O14),O14,L14)"),45231.0)</f>
        <v>45231</v>
      </c>
      <c r="T14" s="6">
        <v>45231.0</v>
      </c>
    </row>
    <row r="15">
      <c r="A15" s="2" t="s">
        <v>59</v>
      </c>
      <c r="B15" s="2" t="s">
        <v>60</v>
      </c>
      <c r="C15" s="2" t="s">
        <v>57</v>
      </c>
      <c r="D15" s="2" t="s">
        <v>58</v>
      </c>
      <c r="E15" s="2">
        <v>294.0</v>
      </c>
      <c r="F15" s="3">
        <v>45540.0</v>
      </c>
      <c r="G15" s="3">
        <v>45559.0</v>
      </c>
      <c r="H15" s="2">
        <v>9.2595586E7</v>
      </c>
      <c r="I15" s="2">
        <v>9.0565605E7</v>
      </c>
      <c r="J15" s="2" t="s">
        <v>20</v>
      </c>
      <c r="K15" s="2" t="s">
        <v>30</v>
      </c>
      <c r="L15" s="2">
        <v>66.0</v>
      </c>
      <c r="M15" s="2">
        <v>19.0</v>
      </c>
      <c r="N15" s="2">
        <v>314951.0</v>
      </c>
      <c r="O15" s="4">
        <v>45536.0</v>
      </c>
      <c r="P15" s="2" t="b">
        <v>1</v>
      </c>
      <c r="Q15" s="4">
        <f>IFERROR(__xludf.DUMMYFUNCTION("IF(ISDATE(O15),O15,L15)"),45536.0)</f>
        <v>45536</v>
      </c>
      <c r="R15" s="2">
        <v>66.0</v>
      </c>
      <c r="T15" s="4">
        <v>45536.0</v>
      </c>
    </row>
    <row r="16">
      <c r="A16" s="2" t="s">
        <v>61</v>
      </c>
      <c r="B16" s="2" t="s">
        <v>56</v>
      </c>
      <c r="C16" s="2" t="s">
        <v>28</v>
      </c>
      <c r="D16" s="2" t="s">
        <v>29</v>
      </c>
      <c r="E16" s="2">
        <v>1045.0</v>
      </c>
      <c r="F16" s="3">
        <v>45424.0</v>
      </c>
      <c r="I16" s="2">
        <v>4.62201062E8</v>
      </c>
      <c r="J16" s="2" t="s">
        <v>34</v>
      </c>
      <c r="K16" s="2" t="s">
        <v>42</v>
      </c>
      <c r="M16" s="2">
        <v>173.0</v>
      </c>
      <c r="N16" s="2">
        <v>442298.0</v>
      </c>
      <c r="O16" s="4">
        <v>45413.0</v>
      </c>
      <c r="P16" s="2" t="b">
        <v>0</v>
      </c>
      <c r="Q16" s="4">
        <f>IFERROR(__xludf.DUMMYFUNCTION("IF(ISDATE(O16),O16,L16)"),45413.0)</f>
        <v>45413</v>
      </c>
      <c r="T16" s="4">
        <v>45413.0</v>
      </c>
    </row>
    <row r="17">
      <c r="A17" s="2" t="s">
        <v>62</v>
      </c>
      <c r="B17" s="2" t="s">
        <v>63</v>
      </c>
      <c r="C17" s="2" t="s">
        <v>64</v>
      </c>
      <c r="D17" s="2" t="s">
        <v>58</v>
      </c>
      <c r="E17" s="2">
        <v>92.0</v>
      </c>
      <c r="F17" s="3">
        <v>45820.0</v>
      </c>
      <c r="G17" s="3">
        <v>45889.0</v>
      </c>
      <c r="H17" s="2">
        <v>5.5630088E7</v>
      </c>
      <c r="I17" s="2">
        <v>5.7902156E7</v>
      </c>
      <c r="J17" s="2" t="s">
        <v>20</v>
      </c>
      <c r="K17" s="2" t="s">
        <v>42</v>
      </c>
      <c r="L17" s="2">
        <v>84.0</v>
      </c>
      <c r="M17" s="2">
        <v>69.0</v>
      </c>
      <c r="N17" s="2">
        <v>604675.0</v>
      </c>
      <c r="O17" s="4">
        <v>45809.0</v>
      </c>
      <c r="P17" s="2" t="b">
        <v>1</v>
      </c>
      <c r="Q17" s="4">
        <f>IFERROR(__xludf.DUMMYFUNCTION("IF(ISDATE(O17),O17,L17)"),45809.0)</f>
        <v>45809</v>
      </c>
      <c r="R17" s="2">
        <v>84.0</v>
      </c>
      <c r="T17" s="4">
        <v>45809.0</v>
      </c>
    </row>
    <row r="18">
      <c r="A18" s="2" t="s">
        <v>65</v>
      </c>
      <c r="B18" s="2" t="s">
        <v>66</v>
      </c>
      <c r="C18" s="2" t="s">
        <v>24</v>
      </c>
      <c r="D18" s="2" t="s">
        <v>67</v>
      </c>
      <c r="E18" s="2">
        <v>39.0</v>
      </c>
      <c r="F18" s="3">
        <v>45050.0</v>
      </c>
      <c r="G18" s="3">
        <v>45081.0</v>
      </c>
      <c r="H18" s="2">
        <v>1.7482981E7</v>
      </c>
      <c r="I18" s="2">
        <v>1.7730004E7</v>
      </c>
      <c r="J18" s="2" t="s">
        <v>20</v>
      </c>
      <c r="K18" s="2" t="s">
        <v>42</v>
      </c>
      <c r="L18" s="2">
        <v>155.0</v>
      </c>
      <c r="M18" s="2">
        <v>31.0</v>
      </c>
      <c r="N18" s="2">
        <v>448282.0</v>
      </c>
      <c r="O18" s="4">
        <v>45047.0</v>
      </c>
      <c r="P18" s="2" t="b">
        <v>1</v>
      </c>
      <c r="Q18" s="4">
        <f>IFERROR(__xludf.DUMMYFUNCTION("IF(ISDATE(O18),O18,L18)"),45047.0)</f>
        <v>45047</v>
      </c>
      <c r="R18" s="2">
        <v>155.0</v>
      </c>
      <c r="T18" s="4">
        <v>45047.0</v>
      </c>
    </row>
    <row r="19">
      <c r="A19" s="2" t="s">
        <v>68</v>
      </c>
      <c r="B19" s="2" t="s">
        <v>27</v>
      </c>
      <c r="C19" s="2" t="s">
        <v>28</v>
      </c>
      <c r="D19" s="2" t="s">
        <v>33</v>
      </c>
      <c r="E19" s="2">
        <v>110.0</v>
      </c>
      <c r="F19" s="3">
        <v>44996.0</v>
      </c>
      <c r="I19" s="2">
        <v>8.2125064E7</v>
      </c>
      <c r="J19" s="2" t="s">
        <v>69</v>
      </c>
      <c r="K19" s="2" t="s">
        <v>42</v>
      </c>
      <c r="L19" s="2">
        <v>76.0</v>
      </c>
      <c r="N19" s="2">
        <v>746591.0</v>
      </c>
      <c r="O19" s="4">
        <v>44986.0</v>
      </c>
      <c r="P19" s="2" t="b">
        <v>0</v>
      </c>
      <c r="Q19" s="4">
        <f>IFERROR(__xludf.DUMMYFUNCTION("IF(ISDATE(O19),O19,L19)"),44986.0)</f>
        <v>44986</v>
      </c>
      <c r="R19" s="2">
        <v>76.0</v>
      </c>
      <c r="T19" s="4">
        <v>44986.0</v>
      </c>
    </row>
    <row r="20">
      <c r="A20" s="2" t="s">
        <v>70</v>
      </c>
      <c r="B20" s="2" t="s">
        <v>71</v>
      </c>
      <c r="C20" s="2" t="s">
        <v>18</v>
      </c>
      <c r="D20" s="2" t="s">
        <v>72</v>
      </c>
      <c r="E20" s="2">
        <v>318.0</v>
      </c>
      <c r="F20" s="3">
        <v>45884.0</v>
      </c>
      <c r="I20" s="2">
        <v>1.66533572E8</v>
      </c>
      <c r="J20" s="2" t="s">
        <v>34</v>
      </c>
      <c r="K20" s="2" t="s">
        <v>73</v>
      </c>
      <c r="L20" s="2">
        <v>109.0</v>
      </c>
      <c r="N20" s="2">
        <v>523690.0</v>
      </c>
      <c r="O20" s="4">
        <v>45870.0</v>
      </c>
      <c r="P20" s="2" t="b">
        <v>0</v>
      </c>
      <c r="Q20" s="4">
        <f>IFERROR(__xludf.DUMMYFUNCTION("IF(ISDATE(O20),O20,L20)"),45870.0)</f>
        <v>45870</v>
      </c>
      <c r="R20" s="2">
        <v>109.0</v>
      </c>
      <c r="T20" s="4">
        <v>45870.0</v>
      </c>
    </row>
    <row r="21">
      <c r="A21" s="2" t="s">
        <v>74</v>
      </c>
      <c r="B21" s="2" t="s">
        <v>75</v>
      </c>
      <c r="C21" s="2" t="s">
        <v>28</v>
      </c>
      <c r="D21" s="2" t="s">
        <v>33</v>
      </c>
      <c r="E21" s="2">
        <v>107.0</v>
      </c>
      <c r="F21" s="3">
        <v>45360.0</v>
      </c>
      <c r="G21" s="3">
        <v>45561.0</v>
      </c>
      <c r="H21" s="2">
        <v>7.9278247E7</v>
      </c>
      <c r="I21" s="2">
        <v>8.1224756E7</v>
      </c>
      <c r="J21" s="2" t="s">
        <v>20</v>
      </c>
      <c r="K21" s="2" t="s">
        <v>21</v>
      </c>
      <c r="L21" s="2">
        <v>20.0</v>
      </c>
      <c r="M21" s="2">
        <v>201.0</v>
      </c>
      <c r="N21" s="2">
        <v>740918.0</v>
      </c>
      <c r="O21" s="4">
        <v>45352.0</v>
      </c>
      <c r="P21" s="2" t="b">
        <v>1</v>
      </c>
      <c r="Q21" s="4">
        <f>IFERROR(__xludf.DUMMYFUNCTION("IF(ISDATE(O21),O21,L21)"),45352.0)</f>
        <v>45352</v>
      </c>
      <c r="R21" s="2">
        <v>20.0</v>
      </c>
      <c r="T21" s="4">
        <v>45352.0</v>
      </c>
    </row>
    <row r="22">
      <c r="A22" s="2" t="s">
        <v>76</v>
      </c>
      <c r="B22" s="2" t="s">
        <v>23</v>
      </c>
      <c r="C22" s="2" t="s">
        <v>24</v>
      </c>
      <c r="D22" s="2" t="s">
        <v>67</v>
      </c>
      <c r="E22" s="2">
        <v>28.0</v>
      </c>
      <c r="F22" s="3">
        <v>45121.0</v>
      </c>
      <c r="G22" s="3">
        <v>45171.0</v>
      </c>
      <c r="H22" s="2">
        <v>1.2978908E7</v>
      </c>
      <c r="I22" s="2">
        <v>1.2519029E7</v>
      </c>
      <c r="J22" s="2" t="s">
        <v>20</v>
      </c>
      <c r="K22" s="2" t="s">
        <v>42</v>
      </c>
      <c r="L22" s="2">
        <v>24.0</v>
      </c>
      <c r="M22" s="2">
        <v>50.0</v>
      </c>
      <c r="N22" s="2">
        <v>463532.0</v>
      </c>
      <c r="O22" s="4">
        <v>45108.0</v>
      </c>
      <c r="P22" s="2" t="b">
        <v>1</v>
      </c>
      <c r="Q22" s="4">
        <f>IFERROR(__xludf.DUMMYFUNCTION("IF(ISDATE(O22),O22,L22)"),45108.0)</f>
        <v>45108</v>
      </c>
      <c r="R22" s="2">
        <v>24.0</v>
      </c>
      <c r="T22" s="4">
        <v>45108.0</v>
      </c>
    </row>
    <row r="23">
      <c r="A23" s="2" t="s">
        <v>77</v>
      </c>
      <c r="B23" s="2" t="s">
        <v>78</v>
      </c>
      <c r="C23" s="2" t="s">
        <v>24</v>
      </c>
      <c r="D23" s="2" t="s">
        <v>58</v>
      </c>
      <c r="E23" s="2">
        <v>75.0</v>
      </c>
      <c r="F23" s="3">
        <v>45480.0</v>
      </c>
      <c r="I23" s="2">
        <v>6.5451821E7</v>
      </c>
      <c r="J23" s="2" t="s">
        <v>41</v>
      </c>
      <c r="K23" s="2" t="s">
        <v>42</v>
      </c>
      <c r="L23" s="2">
        <v>47.0</v>
      </c>
      <c r="M23" s="2">
        <v>872691.0</v>
      </c>
      <c r="O23" s="4">
        <v>45474.0</v>
      </c>
      <c r="P23" s="2" t="b">
        <v>0</v>
      </c>
      <c r="Q23" s="4">
        <f>IFERROR(__xludf.DUMMYFUNCTION("IF(ISDATE(O23),O23,L23)"),45474.0)</f>
        <v>45474</v>
      </c>
      <c r="R23" s="2">
        <v>47.0</v>
      </c>
      <c r="T23" s="4">
        <v>45474.0</v>
      </c>
    </row>
    <row r="24">
      <c r="A24" s="2" t="s">
        <v>79</v>
      </c>
      <c r="B24" s="2" t="s">
        <v>80</v>
      </c>
      <c r="C24" s="2" t="s">
        <v>24</v>
      </c>
      <c r="D24" s="2" t="s">
        <v>81</v>
      </c>
      <c r="E24" s="2">
        <v>2151.0</v>
      </c>
      <c r="F24" s="3">
        <v>45095.0</v>
      </c>
      <c r="G24" s="3">
        <v>45209.0</v>
      </c>
      <c r="H24" s="2">
        <v>8.02046977E8</v>
      </c>
      <c r="I24" s="2">
        <v>8.38501051E8</v>
      </c>
      <c r="J24" s="2" t="s">
        <v>20</v>
      </c>
      <c r="K24" s="2" t="s">
        <v>73</v>
      </c>
      <c r="L24" s="2">
        <v>78.0</v>
      </c>
      <c r="M24" s="2">
        <v>114.0</v>
      </c>
      <c r="N24" s="2">
        <v>372872.0</v>
      </c>
      <c r="O24" s="4">
        <v>45078.0</v>
      </c>
      <c r="P24" s="2" t="b">
        <v>1</v>
      </c>
      <c r="Q24" s="4">
        <f>IFERROR(__xludf.DUMMYFUNCTION("IF(ISDATE(O24),O24,L24)"),45078.0)</f>
        <v>45078</v>
      </c>
      <c r="R24" s="2">
        <v>78.0</v>
      </c>
      <c r="T24" s="4">
        <v>45078.0</v>
      </c>
    </row>
    <row r="25">
      <c r="A25" s="2" t="s">
        <v>82</v>
      </c>
      <c r="B25" s="2" t="s">
        <v>48</v>
      </c>
      <c r="C25" s="2" t="s">
        <v>24</v>
      </c>
      <c r="D25" s="2" t="s">
        <v>58</v>
      </c>
      <c r="E25" s="2">
        <v>219.0</v>
      </c>
      <c r="F25" s="3">
        <v>45121.0</v>
      </c>
      <c r="G25" s="3">
        <v>45150.0</v>
      </c>
      <c r="H25" s="2">
        <v>1.69373628E8</v>
      </c>
      <c r="I25" s="2">
        <v>1.70517108E8</v>
      </c>
      <c r="J25" s="2" t="s">
        <v>20</v>
      </c>
      <c r="K25" s="2" t="s">
        <v>30</v>
      </c>
      <c r="L25" s="2">
        <v>19.0</v>
      </c>
      <c r="M25" s="2">
        <v>29.0</v>
      </c>
      <c r="N25" s="2">
        <v>773396.0</v>
      </c>
      <c r="O25" s="4">
        <v>45108.0</v>
      </c>
      <c r="P25" s="2" t="b">
        <v>1</v>
      </c>
      <c r="Q25" s="4">
        <f>IFERROR(__xludf.DUMMYFUNCTION("IF(ISDATE(O25),O25,L25)"),45108.0)</f>
        <v>45108</v>
      </c>
      <c r="R25" s="2">
        <v>19.0</v>
      </c>
      <c r="T25" s="4">
        <v>45108.0</v>
      </c>
    </row>
    <row r="26">
      <c r="A26" s="2" t="s">
        <v>83</v>
      </c>
      <c r="B26" s="2" t="s">
        <v>84</v>
      </c>
      <c r="C26" s="2" t="s">
        <v>28</v>
      </c>
      <c r="D26" s="2" t="s">
        <v>81</v>
      </c>
      <c r="E26" s="2">
        <v>4519.0</v>
      </c>
      <c r="F26" s="3">
        <v>44985.0</v>
      </c>
      <c r="I26" s="2">
        <v>2.74381876E9</v>
      </c>
      <c r="J26" s="2" t="s">
        <v>41</v>
      </c>
      <c r="K26" s="2" t="s">
        <v>21</v>
      </c>
      <c r="L26" s="2">
        <v>157.0</v>
      </c>
      <c r="M26" s="2">
        <v>607174.0</v>
      </c>
      <c r="O26" s="4">
        <v>44958.0</v>
      </c>
      <c r="P26" s="2" t="b">
        <v>0</v>
      </c>
      <c r="Q26" s="4">
        <f>IFERROR(__xludf.DUMMYFUNCTION("IF(ISDATE(O26),O26,L26)"),44958.0)</f>
        <v>44958</v>
      </c>
      <c r="R26" s="2">
        <v>157.0</v>
      </c>
      <c r="T26" s="4">
        <v>44958.0</v>
      </c>
    </row>
    <row r="27">
      <c r="A27" s="2" t="s">
        <v>85</v>
      </c>
      <c r="B27" s="2" t="s">
        <v>86</v>
      </c>
      <c r="C27" s="2" t="s">
        <v>28</v>
      </c>
      <c r="D27" s="2" t="s">
        <v>72</v>
      </c>
      <c r="E27" s="2">
        <v>283.0</v>
      </c>
      <c r="F27" s="3">
        <v>45179.0</v>
      </c>
      <c r="G27" s="3">
        <v>45204.0</v>
      </c>
      <c r="H27" s="2">
        <v>4.753159E8</v>
      </c>
      <c r="I27" s="2">
        <v>4.6917291E8</v>
      </c>
      <c r="J27" s="2" t="s">
        <v>20</v>
      </c>
      <c r="K27" s="2" t="s">
        <v>25</v>
      </c>
      <c r="L27" s="2">
        <v>149.0</v>
      </c>
      <c r="M27" s="2">
        <v>25.0</v>
      </c>
      <c r="N27" s="2">
        <v>1679561.0</v>
      </c>
      <c r="O27" s="4">
        <v>45170.0</v>
      </c>
      <c r="P27" s="2" t="b">
        <v>1</v>
      </c>
      <c r="Q27" s="4">
        <f>IFERROR(__xludf.DUMMYFUNCTION("IF(ISDATE(O27),O27,L27)"),45170.0)</f>
        <v>45170</v>
      </c>
      <c r="R27" s="2">
        <v>149.0</v>
      </c>
      <c r="T27" s="4">
        <v>45170.0</v>
      </c>
    </row>
    <row r="28">
      <c r="A28" s="2" t="s">
        <v>87</v>
      </c>
      <c r="B28" s="2" t="s">
        <v>88</v>
      </c>
      <c r="C28" s="2" t="s">
        <v>64</v>
      </c>
      <c r="D28" s="2" t="s">
        <v>37</v>
      </c>
      <c r="E28" s="2">
        <v>404.0</v>
      </c>
      <c r="F28" s="3">
        <v>45198.0</v>
      </c>
      <c r="G28" s="3">
        <v>45384.0</v>
      </c>
      <c r="H28" s="2">
        <v>4.43235798E8</v>
      </c>
      <c r="I28" s="2">
        <v>4.40202261E8</v>
      </c>
      <c r="J28" s="2" t="s">
        <v>20</v>
      </c>
      <c r="K28" s="2" t="s">
        <v>21</v>
      </c>
      <c r="L28" s="2">
        <v>7.0</v>
      </c>
      <c r="M28" s="2">
        <v>186.0</v>
      </c>
      <c r="N28" s="2">
        <v>1097118.0</v>
      </c>
      <c r="O28" s="4">
        <v>45170.0</v>
      </c>
      <c r="P28" s="2" t="b">
        <v>1</v>
      </c>
      <c r="Q28" s="4">
        <f>IFERROR(__xludf.DUMMYFUNCTION("IF(ISDATE(O28),O28,L28)"),45170.0)</f>
        <v>45170</v>
      </c>
      <c r="R28" s="2">
        <v>7.0</v>
      </c>
      <c r="T28" s="4">
        <v>45170.0</v>
      </c>
    </row>
    <row r="29">
      <c r="A29" s="2" t="s">
        <v>89</v>
      </c>
      <c r="B29" s="2" t="s">
        <v>86</v>
      </c>
      <c r="C29" s="2" t="s">
        <v>64</v>
      </c>
      <c r="D29" s="2" t="s">
        <v>29</v>
      </c>
      <c r="E29" s="2">
        <v>1219.0</v>
      </c>
      <c r="F29" s="3">
        <v>45145.0</v>
      </c>
      <c r="G29" s="3">
        <v>45193.0</v>
      </c>
      <c r="H29" s="2">
        <v>3.01969472E8</v>
      </c>
      <c r="I29" s="2">
        <v>3.20370968E8</v>
      </c>
      <c r="J29" s="2" t="s">
        <v>20</v>
      </c>
      <c r="K29" s="2" t="s">
        <v>42</v>
      </c>
      <c r="L29" s="2">
        <v>99.0</v>
      </c>
      <c r="M29" s="2">
        <v>48.0</v>
      </c>
      <c r="N29" s="2">
        <v>247719.0</v>
      </c>
      <c r="O29" s="4">
        <v>45139.0</v>
      </c>
      <c r="P29" s="2" t="b">
        <v>1</v>
      </c>
      <c r="Q29" s="4">
        <f>IFERROR(__xludf.DUMMYFUNCTION("IF(ISDATE(O29),O29,L29)"),45139.0)</f>
        <v>45139</v>
      </c>
      <c r="R29" s="2">
        <v>99.0</v>
      </c>
      <c r="T29" s="4">
        <v>45139.0</v>
      </c>
    </row>
    <row r="30">
      <c r="A30" s="2" t="s">
        <v>90</v>
      </c>
      <c r="B30" s="2" t="s">
        <v>63</v>
      </c>
      <c r="C30" s="2" t="s">
        <v>24</v>
      </c>
      <c r="D30" s="2" t="s">
        <v>81</v>
      </c>
      <c r="E30" s="2">
        <v>4850.0</v>
      </c>
      <c r="F30" s="3">
        <v>45934.0</v>
      </c>
      <c r="I30" s="2">
        <v>2.007971528E9</v>
      </c>
      <c r="J30" s="2" t="s">
        <v>34</v>
      </c>
      <c r="K30" s="2" t="s">
        <v>25</v>
      </c>
      <c r="L30" s="2">
        <v>81.0</v>
      </c>
      <c r="M30" s="2">
        <v>414015.0</v>
      </c>
      <c r="O30" s="6">
        <v>45931.0</v>
      </c>
      <c r="P30" s="2" t="b">
        <v>0</v>
      </c>
      <c r="Q30" s="6">
        <f>IFERROR(__xludf.DUMMYFUNCTION("IF(ISDATE(O30),O30,L30)"),45931.0)</f>
        <v>45931</v>
      </c>
      <c r="R30" s="2">
        <v>81.0</v>
      </c>
      <c r="T30" s="6">
        <v>45931.0</v>
      </c>
    </row>
    <row r="31">
      <c r="A31" s="2" t="s">
        <v>91</v>
      </c>
      <c r="B31" s="2" t="s">
        <v>92</v>
      </c>
      <c r="C31" s="2" t="s">
        <v>93</v>
      </c>
      <c r="D31" s="2" t="s">
        <v>33</v>
      </c>
      <c r="E31" s="2">
        <v>73.0</v>
      </c>
      <c r="F31" s="3">
        <v>45838.0</v>
      </c>
      <c r="G31" s="3">
        <v>45994.0</v>
      </c>
      <c r="H31" s="2">
        <v>1.9976723E7</v>
      </c>
      <c r="I31" s="2">
        <v>1.9279155E7</v>
      </c>
      <c r="J31" s="2" t="s">
        <v>20</v>
      </c>
      <c r="K31" s="2" t="s">
        <v>42</v>
      </c>
      <c r="L31" s="2">
        <v>92.0</v>
      </c>
      <c r="M31" s="2">
        <v>156.0</v>
      </c>
      <c r="N31" s="2">
        <v>273654.0</v>
      </c>
      <c r="O31" s="4">
        <v>45809.0</v>
      </c>
      <c r="P31" s="2" t="b">
        <v>1</v>
      </c>
      <c r="Q31" s="4">
        <f>IFERROR(__xludf.DUMMYFUNCTION("IF(ISDATE(O31),O31,L31)"),45809.0)</f>
        <v>45809</v>
      </c>
      <c r="R31" s="2">
        <v>92.0</v>
      </c>
      <c r="T31" s="4">
        <v>45809.0</v>
      </c>
    </row>
    <row r="32">
      <c r="A32" s="2" t="s">
        <v>94</v>
      </c>
      <c r="B32" s="2" t="s">
        <v>95</v>
      </c>
      <c r="C32" s="2" t="s">
        <v>28</v>
      </c>
      <c r="D32" s="2" t="s">
        <v>37</v>
      </c>
      <c r="E32" s="2">
        <v>558.0</v>
      </c>
      <c r="F32" s="3">
        <v>45854.0</v>
      </c>
      <c r="I32" s="2">
        <v>9.25464903E8</v>
      </c>
      <c r="J32" s="2" t="s">
        <v>41</v>
      </c>
      <c r="K32" s="2" t="s">
        <v>73</v>
      </c>
      <c r="L32" s="2">
        <v>75.0</v>
      </c>
      <c r="M32" s="2">
        <v>1658539.0</v>
      </c>
      <c r="O32" s="4">
        <v>45839.0</v>
      </c>
      <c r="P32" s="2" t="b">
        <v>0</v>
      </c>
      <c r="Q32" s="4">
        <f>IFERROR(__xludf.DUMMYFUNCTION("IF(ISDATE(O32),O32,L32)"),45839.0)</f>
        <v>45839</v>
      </c>
      <c r="R32" s="2">
        <v>75.0</v>
      </c>
      <c r="T32" s="4">
        <v>45839.0</v>
      </c>
    </row>
    <row r="33">
      <c r="A33" s="2" t="s">
        <v>96</v>
      </c>
      <c r="B33" s="2" t="s">
        <v>17</v>
      </c>
      <c r="C33" s="2" t="s">
        <v>28</v>
      </c>
      <c r="D33" s="2" t="s">
        <v>67</v>
      </c>
      <c r="E33" s="2">
        <v>29.0</v>
      </c>
      <c r="F33" s="3">
        <v>45686.0</v>
      </c>
      <c r="G33" s="3">
        <v>45881.0</v>
      </c>
      <c r="H33" s="2">
        <v>1.7618645E7</v>
      </c>
      <c r="I33" s="2">
        <v>1.6236412E7</v>
      </c>
      <c r="J33" s="2" t="s">
        <v>20</v>
      </c>
      <c r="K33" s="2" t="s">
        <v>21</v>
      </c>
      <c r="L33" s="2">
        <v>43.0</v>
      </c>
      <c r="M33" s="2">
        <v>195.0</v>
      </c>
      <c r="N33" s="2">
        <v>607539.0</v>
      </c>
      <c r="O33" s="4">
        <v>45658.0</v>
      </c>
      <c r="P33" s="2" t="b">
        <v>1</v>
      </c>
      <c r="Q33" s="4">
        <f>IFERROR(__xludf.DUMMYFUNCTION("IF(ISDATE(O33),O33,L33)"),45658.0)</f>
        <v>45658</v>
      </c>
      <c r="R33" s="2">
        <v>43.0</v>
      </c>
      <c r="T33" s="4">
        <v>45658.0</v>
      </c>
    </row>
    <row r="34">
      <c r="A34" s="2" t="s">
        <v>97</v>
      </c>
      <c r="B34" s="2" t="s">
        <v>84</v>
      </c>
      <c r="C34" s="2" t="s">
        <v>64</v>
      </c>
      <c r="D34" s="2" t="s">
        <v>67</v>
      </c>
      <c r="E34" s="2">
        <v>43.0</v>
      </c>
      <c r="F34" s="3">
        <v>45367.0</v>
      </c>
      <c r="G34" s="3">
        <v>45460.0</v>
      </c>
      <c r="H34" s="2">
        <v>1.3488931E7</v>
      </c>
      <c r="I34" s="2">
        <v>1.4423634E7</v>
      </c>
      <c r="J34" s="2" t="s">
        <v>20</v>
      </c>
      <c r="K34" s="2" t="s">
        <v>21</v>
      </c>
      <c r="L34" s="2">
        <v>96.0</v>
      </c>
      <c r="M34" s="2">
        <v>93.0</v>
      </c>
      <c r="N34" s="2">
        <v>313696.0</v>
      </c>
      <c r="O34" s="4">
        <v>45352.0</v>
      </c>
      <c r="P34" s="2" t="b">
        <v>1</v>
      </c>
      <c r="Q34" s="4">
        <f>IFERROR(__xludf.DUMMYFUNCTION("IF(ISDATE(O34),O34,L34)"),45352.0)</f>
        <v>45352</v>
      </c>
      <c r="R34" s="2">
        <v>96.0</v>
      </c>
      <c r="T34" s="4">
        <v>45352.0</v>
      </c>
    </row>
    <row r="35">
      <c r="A35" s="2" t="s">
        <v>98</v>
      </c>
      <c r="B35" s="2" t="s">
        <v>99</v>
      </c>
      <c r="C35" s="2" t="s">
        <v>28</v>
      </c>
      <c r="D35" s="2" t="s">
        <v>72</v>
      </c>
      <c r="E35" s="2">
        <v>350.0</v>
      </c>
      <c r="F35" s="3">
        <v>45725.0</v>
      </c>
      <c r="G35" s="3">
        <v>45844.0</v>
      </c>
      <c r="H35" s="2">
        <v>6.6377089E8</v>
      </c>
      <c r="I35" s="2">
        <v>6.90266246E8</v>
      </c>
      <c r="J35" s="2" t="s">
        <v>20</v>
      </c>
      <c r="K35" s="2" t="s">
        <v>42</v>
      </c>
      <c r="L35" s="2">
        <v>46.0</v>
      </c>
      <c r="M35" s="2">
        <v>119.0</v>
      </c>
      <c r="N35" s="2">
        <v>1896488.0</v>
      </c>
      <c r="O35" s="4">
        <v>45717.0</v>
      </c>
      <c r="P35" s="2" t="b">
        <v>1</v>
      </c>
      <c r="Q35" s="4">
        <f>IFERROR(__xludf.DUMMYFUNCTION("IF(ISDATE(O35),O35,L35)"),45717.0)</f>
        <v>45717</v>
      </c>
      <c r="R35" s="2">
        <v>46.0</v>
      </c>
      <c r="T35" s="4">
        <v>45717.0</v>
      </c>
    </row>
    <row r="36">
      <c r="A36" s="2" t="s">
        <v>100</v>
      </c>
      <c r="B36" s="2" t="s">
        <v>27</v>
      </c>
      <c r="C36" s="2" t="s">
        <v>101</v>
      </c>
      <c r="D36" s="2" t="s">
        <v>102</v>
      </c>
      <c r="E36" s="2">
        <v>152.0</v>
      </c>
      <c r="F36" s="3">
        <v>45681.0</v>
      </c>
      <c r="I36" s="2">
        <v>6.0066865E7</v>
      </c>
      <c r="J36" s="2" t="s">
        <v>69</v>
      </c>
      <c r="K36" s="2" t="s">
        <v>42</v>
      </c>
      <c r="L36" s="2">
        <v>73.0</v>
      </c>
      <c r="M36" s="2">
        <v>395177.0</v>
      </c>
      <c r="O36" s="4">
        <v>45658.0</v>
      </c>
      <c r="P36" s="2" t="b">
        <v>0</v>
      </c>
      <c r="Q36" s="4">
        <f>IFERROR(__xludf.DUMMYFUNCTION("IF(ISDATE(O36),O36,L36)"),45658.0)</f>
        <v>45658</v>
      </c>
      <c r="R36" s="2">
        <v>73.0</v>
      </c>
      <c r="T36" s="4">
        <v>45658.0</v>
      </c>
    </row>
    <row r="37">
      <c r="A37" s="2" t="s">
        <v>103</v>
      </c>
      <c r="B37" s="2" t="s">
        <v>104</v>
      </c>
      <c r="C37" s="2" t="s">
        <v>28</v>
      </c>
      <c r="D37" s="2" t="s">
        <v>33</v>
      </c>
      <c r="E37" s="2">
        <v>89.0</v>
      </c>
      <c r="F37" s="3">
        <v>45154.0</v>
      </c>
      <c r="G37" s="3">
        <v>45286.0</v>
      </c>
      <c r="H37" s="2">
        <v>7.4883163E7</v>
      </c>
      <c r="I37" s="2">
        <v>7.8723607E7</v>
      </c>
      <c r="J37" s="2" t="s">
        <v>20</v>
      </c>
      <c r="K37" s="2" t="s">
        <v>42</v>
      </c>
      <c r="L37" s="2">
        <v>62.0</v>
      </c>
      <c r="M37" s="2">
        <v>132.0</v>
      </c>
      <c r="N37" s="2">
        <v>841384.0</v>
      </c>
      <c r="O37" s="4">
        <v>45139.0</v>
      </c>
      <c r="P37" s="2" t="b">
        <v>1</v>
      </c>
      <c r="Q37" s="4">
        <f>IFERROR(__xludf.DUMMYFUNCTION("IF(ISDATE(O37),O37,L37)"),45139.0)</f>
        <v>45139</v>
      </c>
      <c r="R37" s="2">
        <v>62.0</v>
      </c>
      <c r="T37" s="4">
        <v>45139.0</v>
      </c>
    </row>
    <row r="38">
      <c r="A38" s="2" t="s">
        <v>105</v>
      </c>
      <c r="B38" s="2" t="s">
        <v>106</v>
      </c>
      <c r="C38" s="2" t="s">
        <v>28</v>
      </c>
      <c r="D38" s="2" t="s">
        <v>72</v>
      </c>
      <c r="E38" s="2">
        <v>282.0</v>
      </c>
      <c r="F38" s="3">
        <v>45812.0</v>
      </c>
      <c r="G38" s="3">
        <v>45898.0</v>
      </c>
      <c r="H38" s="2">
        <v>4.27343203E8</v>
      </c>
      <c r="I38" s="2">
        <v>4.27986315E8</v>
      </c>
      <c r="J38" s="2" t="s">
        <v>20</v>
      </c>
      <c r="K38" s="2" t="s">
        <v>25</v>
      </c>
      <c r="L38" s="2">
        <v>89.0</v>
      </c>
      <c r="M38" s="2">
        <v>86.0</v>
      </c>
      <c r="N38" s="2">
        <v>1515401.0</v>
      </c>
      <c r="O38" s="4">
        <v>45809.0</v>
      </c>
      <c r="P38" s="2" t="b">
        <v>1</v>
      </c>
      <c r="Q38" s="4">
        <f>IFERROR(__xludf.DUMMYFUNCTION("IF(ISDATE(O38),O38,L38)"),45809.0)</f>
        <v>45809</v>
      </c>
      <c r="R38" s="2">
        <v>89.0</v>
      </c>
      <c r="T38" s="4">
        <v>45809.0</v>
      </c>
    </row>
    <row r="39">
      <c r="A39" s="2" t="s">
        <v>107</v>
      </c>
      <c r="B39" s="2" t="s">
        <v>44</v>
      </c>
      <c r="C39" s="2" t="s">
        <v>93</v>
      </c>
      <c r="D39" s="2" t="s">
        <v>33</v>
      </c>
      <c r="E39" s="2">
        <v>81.0</v>
      </c>
      <c r="F39" s="3">
        <v>45912.0</v>
      </c>
      <c r="I39" s="2">
        <v>2.1708672E7</v>
      </c>
      <c r="J39" s="2" t="s">
        <v>41</v>
      </c>
      <c r="K39" s="2" t="s">
        <v>73</v>
      </c>
      <c r="L39" s="2">
        <v>93.0</v>
      </c>
      <c r="M39" s="2">
        <v>268008.0</v>
      </c>
      <c r="O39" s="4">
        <v>45901.0</v>
      </c>
      <c r="P39" s="2" t="b">
        <v>0</v>
      </c>
      <c r="Q39" s="4">
        <f>IFERROR(__xludf.DUMMYFUNCTION("IF(ISDATE(O39),O39,L39)"),45901.0)</f>
        <v>45901</v>
      </c>
      <c r="R39" s="2">
        <v>93.0</v>
      </c>
      <c r="T39" s="4">
        <v>45901.0</v>
      </c>
    </row>
    <row r="40">
      <c r="A40" s="2" t="s">
        <v>108</v>
      </c>
      <c r="B40" s="2" t="s">
        <v>109</v>
      </c>
      <c r="C40" s="2" t="s">
        <v>18</v>
      </c>
      <c r="D40" s="2" t="s">
        <v>67</v>
      </c>
      <c r="E40" s="2">
        <v>38.0</v>
      </c>
      <c r="F40" s="3">
        <v>45045.0</v>
      </c>
      <c r="G40" s="3">
        <v>45207.0</v>
      </c>
      <c r="H40" s="2">
        <v>6897082.0</v>
      </c>
      <c r="I40" s="2">
        <v>6394297.0</v>
      </c>
      <c r="J40" s="2" t="s">
        <v>20</v>
      </c>
      <c r="K40" s="2" t="s">
        <v>73</v>
      </c>
      <c r="L40" s="2">
        <v>5.0</v>
      </c>
      <c r="M40" s="2">
        <v>162.0</v>
      </c>
      <c r="N40" s="2">
        <v>181502.0</v>
      </c>
      <c r="O40" s="4">
        <v>45017.0</v>
      </c>
      <c r="P40" s="2" t="b">
        <v>1</v>
      </c>
      <c r="Q40" s="4">
        <f>IFERROR(__xludf.DUMMYFUNCTION("IF(ISDATE(O40),O40,L40)"),45017.0)</f>
        <v>45017</v>
      </c>
      <c r="R40" s="2">
        <v>5.0</v>
      </c>
      <c r="T40" s="4">
        <v>45017.0</v>
      </c>
    </row>
    <row r="41">
      <c r="A41" s="2" t="s">
        <v>110</v>
      </c>
      <c r="B41" s="2" t="s">
        <v>111</v>
      </c>
      <c r="C41" s="2" t="s">
        <v>64</v>
      </c>
      <c r="D41" s="2" t="s">
        <v>58</v>
      </c>
      <c r="E41" s="2">
        <v>225.0</v>
      </c>
      <c r="F41" s="3">
        <v>45368.0</v>
      </c>
      <c r="G41" s="3">
        <v>45553.0</v>
      </c>
      <c r="H41" s="2">
        <v>1.35689091E8</v>
      </c>
      <c r="I41" s="2">
        <v>1.38362826E8</v>
      </c>
      <c r="J41" s="2" t="s">
        <v>20</v>
      </c>
      <c r="K41" s="2" t="s">
        <v>21</v>
      </c>
      <c r="L41" s="2">
        <v>81.0</v>
      </c>
      <c r="M41" s="2">
        <v>185.0</v>
      </c>
      <c r="N41" s="2">
        <v>603063.0</v>
      </c>
      <c r="O41" s="4">
        <v>45352.0</v>
      </c>
      <c r="P41" s="2" t="b">
        <v>1</v>
      </c>
      <c r="Q41" s="4">
        <f>IFERROR(__xludf.DUMMYFUNCTION("IF(ISDATE(O41),O41,L41)"),45352.0)</f>
        <v>45352</v>
      </c>
      <c r="R41" s="2">
        <v>81.0</v>
      </c>
      <c r="T41" s="4">
        <v>45352.0</v>
      </c>
    </row>
    <row r="42">
      <c r="A42" s="2" t="s">
        <v>112</v>
      </c>
      <c r="B42" s="2" t="s">
        <v>113</v>
      </c>
      <c r="C42" s="2" t="s">
        <v>64</v>
      </c>
      <c r="D42" s="2" t="s">
        <v>49</v>
      </c>
      <c r="E42" s="2">
        <v>133.0</v>
      </c>
      <c r="F42" s="3">
        <v>45229.0</v>
      </c>
      <c r="G42" s="3">
        <v>45293.0</v>
      </c>
      <c r="H42" s="2">
        <v>8.5313179E7</v>
      </c>
      <c r="I42" s="2">
        <v>9.132419E7</v>
      </c>
      <c r="J42" s="2" t="s">
        <v>20</v>
      </c>
      <c r="K42" s="2" t="s">
        <v>42</v>
      </c>
      <c r="L42" s="2">
        <v>162.0</v>
      </c>
      <c r="M42" s="2">
        <v>64.0</v>
      </c>
      <c r="N42" s="2">
        <v>641452.0</v>
      </c>
      <c r="O42" s="6">
        <v>45200.0</v>
      </c>
      <c r="P42" s="2" t="b">
        <v>1</v>
      </c>
      <c r="Q42" s="6">
        <f>IFERROR(__xludf.DUMMYFUNCTION("IF(ISDATE(O42),O42,L42)"),45200.0)</f>
        <v>45200</v>
      </c>
      <c r="R42" s="2">
        <v>162.0</v>
      </c>
      <c r="T42" s="6">
        <v>45200.0</v>
      </c>
    </row>
    <row r="43">
      <c r="A43" s="2" t="s">
        <v>114</v>
      </c>
      <c r="B43" s="2" t="s">
        <v>46</v>
      </c>
      <c r="C43" s="2" t="s">
        <v>64</v>
      </c>
      <c r="D43" s="2" t="s">
        <v>49</v>
      </c>
      <c r="E43" s="2">
        <v>190.0</v>
      </c>
      <c r="F43" s="3">
        <v>45220.0</v>
      </c>
      <c r="G43" s="3">
        <v>45383.0</v>
      </c>
      <c r="H43" s="2">
        <v>1.30791955E8</v>
      </c>
      <c r="I43" s="2">
        <v>1.27072215E8</v>
      </c>
      <c r="J43" s="2" t="s">
        <v>20</v>
      </c>
      <c r="K43" s="2" t="s">
        <v>73</v>
      </c>
      <c r="L43" s="2">
        <v>118.0</v>
      </c>
      <c r="M43" s="2">
        <v>163.0</v>
      </c>
      <c r="N43" s="2">
        <v>688379.0</v>
      </c>
      <c r="O43" s="6">
        <v>45200.0</v>
      </c>
      <c r="P43" s="2" t="b">
        <v>1</v>
      </c>
      <c r="Q43" s="6">
        <f>IFERROR(__xludf.DUMMYFUNCTION("IF(ISDATE(O43),O43,L43)"),45200.0)</f>
        <v>45200</v>
      </c>
      <c r="R43" s="2">
        <v>118.0</v>
      </c>
      <c r="T43" s="6">
        <v>45200.0</v>
      </c>
    </row>
    <row r="44">
      <c r="A44" s="2" t="s">
        <v>115</v>
      </c>
      <c r="B44" s="2" t="s">
        <v>71</v>
      </c>
      <c r="C44" s="2" t="s">
        <v>18</v>
      </c>
      <c r="D44" s="2" t="s">
        <v>58</v>
      </c>
      <c r="E44" s="2">
        <v>171.0</v>
      </c>
      <c r="F44" s="3">
        <v>45013.0</v>
      </c>
      <c r="G44" s="3">
        <v>45197.0</v>
      </c>
      <c r="H44" s="2">
        <v>5.8102091E7</v>
      </c>
      <c r="I44" s="2">
        <v>5.6569945E7</v>
      </c>
      <c r="J44" s="2" t="s">
        <v>20</v>
      </c>
      <c r="K44" s="2" t="s">
        <v>42</v>
      </c>
      <c r="L44" s="2">
        <v>177.0</v>
      </c>
      <c r="M44" s="2">
        <v>184.0</v>
      </c>
      <c r="N44" s="2">
        <v>339778.0</v>
      </c>
      <c r="O44" s="4">
        <v>44986.0</v>
      </c>
      <c r="P44" s="2" t="b">
        <v>1</v>
      </c>
      <c r="Q44" s="4">
        <f>IFERROR(__xludf.DUMMYFUNCTION("IF(ISDATE(O44),O44,L44)"),44986.0)</f>
        <v>44986</v>
      </c>
      <c r="R44" s="2">
        <v>177.0</v>
      </c>
      <c r="T44" s="4">
        <v>44986.0</v>
      </c>
    </row>
    <row r="45">
      <c r="A45" s="2" t="s">
        <v>116</v>
      </c>
      <c r="B45" s="2" t="s">
        <v>117</v>
      </c>
      <c r="C45" s="2" t="s">
        <v>24</v>
      </c>
      <c r="D45" s="2" t="s">
        <v>72</v>
      </c>
      <c r="E45" s="2">
        <v>217.0</v>
      </c>
      <c r="F45" s="3">
        <v>45177.0</v>
      </c>
      <c r="I45" s="2">
        <v>3.02102461E8</v>
      </c>
      <c r="J45" s="2" t="s">
        <v>34</v>
      </c>
      <c r="K45" s="2" t="s">
        <v>21</v>
      </c>
      <c r="L45" s="2">
        <v>121.0</v>
      </c>
      <c r="N45" s="2">
        <v>1392177.0</v>
      </c>
      <c r="O45" s="4">
        <v>45170.0</v>
      </c>
      <c r="P45" s="2" t="b">
        <v>0</v>
      </c>
      <c r="Q45" s="4">
        <f>IFERROR(__xludf.DUMMYFUNCTION("IF(ISDATE(O45),O45,L45)"),45170.0)</f>
        <v>45170</v>
      </c>
      <c r="R45" s="2">
        <v>121.0</v>
      </c>
      <c r="T45" s="4">
        <v>45170.0</v>
      </c>
    </row>
    <row r="46">
      <c r="A46" s="2" t="s">
        <v>118</v>
      </c>
      <c r="B46" s="2" t="s">
        <v>119</v>
      </c>
      <c r="C46" s="2" t="s">
        <v>24</v>
      </c>
      <c r="D46" s="2" t="s">
        <v>29</v>
      </c>
      <c r="E46" s="2">
        <v>1992.0</v>
      </c>
      <c r="F46" s="3">
        <v>45336.0</v>
      </c>
      <c r="G46" s="3">
        <v>45518.0</v>
      </c>
      <c r="H46" s="2">
        <v>6.5552103E8</v>
      </c>
      <c r="I46" s="2">
        <v>6.96704513E8</v>
      </c>
      <c r="J46" s="2" t="s">
        <v>20</v>
      </c>
      <c r="K46" s="2" t="s">
        <v>21</v>
      </c>
      <c r="L46" s="2">
        <v>113.0</v>
      </c>
      <c r="M46" s="2">
        <v>182.0</v>
      </c>
      <c r="N46" s="2">
        <v>329077.0</v>
      </c>
      <c r="O46" s="4">
        <v>45323.0</v>
      </c>
      <c r="P46" s="2" t="b">
        <v>1</v>
      </c>
      <c r="Q46" s="4">
        <f>IFERROR(__xludf.DUMMYFUNCTION("IF(ISDATE(O46),O46,L46)"),45323.0)</f>
        <v>45323</v>
      </c>
      <c r="R46" s="2">
        <v>113.0</v>
      </c>
      <c r="T46" s="4">
        <v>45323.0</v>
      </c>
    </row>
    <row r="47">
      <c r="A47" s="2" t="s">
        <v>120</v>
      </c>
      <c r="B47" s="2" t="s">
        <v>121</v>
      </c>
      <c r="C47" s="2" t="s">
        <v>28</v>
      </c>
      <c r="D47" s="2" t="s">
        <v>58</v>
      </c>
      <c r="E47" s="2">
        <v>168.0</v>
      </c>
      <c r="F47" s="3">
        <v>45182.0</v>
      </c>
      <c r="I47" s="2">
        <v>1.62198409E8</v>
      </c>
      <c r="J47" s="2" t="s">
        <v>41</v>
      </c>
      <c r="K47" s="2" t="s">
        <v>73</v>
      </c>
      <c r="L47" s="2">
        <v>175.0</v>
      </c>
      <c r="N47" s="2">
        <v>965467.0</v>
      </c>
      <c r="O47" s="4">
        <v>45170.0</v>
      </c>
      <c r="P47" s="2" t="b">
        <v>0</v>
      </c>
      <c r="Q47" s="4">
        <f>IFERROR(__xludf.DUMMYFUNCTION("IF(ISDATE(O47),O47,L47)"),45170.0)</f>
        <v>45170</v>
      </c>
      <c r="R47" s="2">
        <v>175.0</v>
      </c>
      <c r="T47" s="4">
        <v>45170.0</v>
      </c>
    </row>
    <row r="48">
      <c r="A48" s="2" t="s">
        <v>122</v>
      </c>
      <c r="B48" s="2" t="s">
        <v>123</v>
      </c>
      <c r="C48" s="2" t="s">
        <v>64</v>
      </c>
      <c r="D48" s="2" t="s">
        <v>58</v>
      </c>
      <c r="E48" s="2">
        <v>202.0</v>
      </c>
      <c r="F48" s="3">
        <v>45554.0</v>
      </c>
      <c r="I48" s="2">
        <v>1.02059423E8</v>
      </c>
      <c r="J48" s="2" t="s">
        <v>34</v>
      </c>
      <c r="K48" s="2" t="s">
        <v>25</v>
      </c>
      <c r="L48" s="2">
        <v>119.0</v>
      </c>
      <c r="N48" s="2">
        <v>505245.0</v>
      </c>
      <c r="O48" s="4">
        <v>45536.0</v>
      </c>
      <c r="P48" s="2" t="b">
        <v>0</v>
      </c>
      <c r="Q48" s="4">
        <f>IFERROR(__xludf.DUMMYFUNCTION("IF(ISDATE(O48),O48,L48)"),45536.0)</f>
        <v>45536</v>
      </c>
      <c r="R48" s="2">
        <v>119.0</v>
      </c>
      <c r="T48" s="4">
        <v>45536.0</v>
      </c>
    </row>
    <row r="49">
      <c r="A49" s="2" t="s">
        <v>124</v>
      </c>
      <c r="B49" s="2" t="s">
        <v>17</v>
      </c>
      <c r="C49" s="2" t="s">
        <v>40</v>
      </c>
      <c r="D49" s="2" t="s">
        <v>81</v>
      </c>
      <c r="E49" s="2">
        <v>4086.0</v>
      </c>
      <c r="F49" s="3">
        <v>45787.0</v>
      </c>
      <c r="G49" s="3">
        <v>45935.0</v>
      </c>
      <c r="H49" s="2">
        <v>6.39768804E8</v>
      </c>
      <c r="I49" s="2">
        <v>6.13077226E8</v>
      </c>
      <c r="J49" s="2" t="s">
        <v>20</v>
      </c>
      <c r="K49" s="2" t="s">
        <v>73</v>
      </c>
      <c r="L49" s="2">
        <v>24.0</v>
      </c>
      <c r="M49" s="2">
        <v>148.0</v>
      </c>
      <c r="N49" s="2">
        <v>156576.0</v>
      </c>
      <c r="O49" s="4">
        <v>45778.0</v>
      </c>
      <c r="P49" s="2" t="b">
        <v>1</v>
      </c>
      <c r="Q49" s="4">
        <f>IFERROR(__xludf.DUMMYFUNCTION("IF(ISDATE(O49),O49,L49)"),45778.0)</f>
        <v>45778</v>
      </c>
      <c r="R49" s="2">
        <v>24.0</v>
      </c>
      <c r="T49" s="4">
        <v>45778.0</v>
      </c>
    </row>
    <row r="50">
      <c r="A50" s="2" t="s">
        <v>125</v>
      </c>
      <c r="B50" s="2" t="s">
        <v>106</v>
      </c>
      <c r="C50" s="2" t="s">
        <v>18</v>
      </c>
      <c r="D50" s="2" t="s">
        <v>72</v>
      </c>
      <c r="E50" s="2">
        <v>249.0</v>
      </c>
      <c r="F50" s="3">
        <v>45841.0</v>
      </c>
      <c r="G50" s="3">
        <v>45891.0</v>
      </c>
      <c r="H50" s="2">
        <v>1.14243057E8</v>
      </c>
      <c r="I50" s="2">
        <v>1.12105072E8</v>
      </c>
      <c r="J50" s="2" t="s">
        <v>20</v>
      </c>
      <c r="K50" s="2" t="s">
        <v>42</v>
      </c>
      <c r="L50" s="2">
        <v>59.0</v>
      </c>
      <c r="M50" s="2">
        <v>50.0</v>
      </c>
      <c r="N50" s="2">
        <v>458807.0</v>
      </c>
      <c r="O50" s="4">
        <v>45839.0</v>
      </c>
      <c r="P50" s="2" t="b">
        <v>1</v>
      </c>
      <c r="Q50" s="4">
        <f>IFERROR(__xludf.DUMMYFUNCTION("IF(ISDATE(O50),O50,L50)"),45839.0)</f>
        <v>45839</v>
      </c>
      <c r="R50" s="2">
        <v>59.0</v>
      </c>
      <c r="T50" s="4">
        <v>45839.0</v>
      </c>
    </row>
    <row r="51">
      <c r="A51" s="2" t="s">
        <v>126</v>
      </c>
      <c r="B51" s="2" t="s">
        <v>66</v>
      </c>
      <c r="C51" s="2" t="s">
        <v>28</v>
      </c>
      <c r="D51" s="2" t="s">
        <v>49</v>
      </c>
      <c r="E51" s="2">
        <v>134.0</v>
      </c>
      <c r="F51" s="3">
        <v>45352.0</v>
      </c>
      <c r="G51" s="3">
        <v>45474.0</v>
      </c>
      <c r="H51" s="2">
        <v>1.60383389E8</v>
      </c>
      <c r="I51" s="2">
        <v>1.6730671E8</v>
      </c>
      <c r="J51" s="2" t="s">
        <v>20</v>
      </c>
      <c r="K51" s="2" t="s">
        <v>21</v>
      </c>
      <c r="L51" s="2">
        <v>152.0</v>
      </c>
      <c r="M51" s="2">
        <v>122.0</v>
      </c>
      <c r="N51" s="2">
        <v>1196891.0</v>
      </c>
      <c r="O51" s="4">
        <v>45352.0</v>
      </c>
      <c r="P51" s="2" t="b">
        <v>1</v>
      </c>
      <c r="Q51" s="4">
        <f>IFERROR(__xludf.DUMMYFUNCTION("IF(ISDATE(O51),O51,L51)"),45352.0)</f>
        <v>45352</v>
      </c>
      <c r="R51" s="2">
        <v>152.0</v>
      </c>
      <c r="T51" s="4">
        <v>45352.0</v>
      </c>
    </row>
    <row r="52">
      <c r="A52" s="2" t="s">
        <v>127</v>
      </c>
      <c r="B52" s="2" t="s">
        <v>106</v>
      </c>
      <c r="C52" s="2" t="s">
        <v>24</v>
      </c>
      <c r="D52" s="2" t="s">
        <v>19</v>
      </c>
      <c r="E52" s="2">
        <v>70.0</v>
      </c>
      <c r="F52" s="3">
        <v>45698.0</v>
      </c>
      <c r="G52" s="3">
        <v>45820.0</v>
      </c>
      <c r="H52" s="2">
        <v>4.1200022E7</v>
      </c>
      <c r="I52" s="2">
        <v>4.274673E7</v>
      </c>
      <c r="J52" s="2" t="s">
        <v>20</v>
      </c>
      <c r="K52" s="2" t="s">
        <v>25</v>
      </c>
      <c r="L52" s="2">
        <v>61.0</v>
      </c>
      <c r="M52" s="2">
        <v>122.0</v>
      </c>
      <c r="N52" s="2">
        <v>588572.0</v>
      </c>
      <c r="O52" s="4">
        <v>45689.0</v>
      </c>
      <c r="P52" s="2" t="b">
        <v>1</v>
      </c>
      <c r="Q52" s="4">
        <f>IFERROR(__xludf.DUMMYFUNCTION("IF(ISDATE(O52),O52,L52)"),45689.0)</f>
        <v>45689</v>
      </c>
      <c r="R52" s="2">
        <v>61.0</v>
      </c>
      <c r="T52" s="4">
        <v>45689.0</v>
      </c>
    </row>
    <row r="53">
      <c r="A53" s="2" t="s">
        <v>128</v>
      </c>
      <c r="B53" s="2" t="s">
        <v>129</v>
      </c>
      <c r="C53" s="2" t="s">
        <v>64</v>
      </c>
      <c r="D53" s="2" t="s">
        <v>37</v>
      </c>
      <c r="E53" s="2">
        <v>523.0</v>
      </c>
      <c r="F53" s="3">
        <v>45325.0</v>
      </c>
      <c r="G53" s="3">
        <v>45513.0</v>
      </c>
      <c r="H53" s="2">
        <v>6.0540616E8</v>
      </c>
      <c r="I53" s="2">
        <v>6.27121485E8</v>
      </c>
      <c r="J53" s="2" t="s">
        <v>20</v>
      </c>
      <c r="K53" s="2" t="s">
        <v>73</v>
      </c>
      <c r="L53" s="2">
        <v>37.0</v>
      </c>
      <c r="M53" s="2">
        <v>188.0</v>
      </c>
      <c r="N53" s="2">
        <v>1157564.0</v>
      </c>
      <c r="O53" s="4">
        <v>45323.0</v>
      </c>
      <c r="P53" s="2" t="b">
        <v>1</v>
      </c>
      <c r="Q53" s="4">
        <f>IFERROR(__xludf.DUMMYFUNCTION("IF(ISDATE(O53),O53,L53)"),45323.0)</f>
        <v>45323</v>
      </c>
      <c r="R53" s="2">
        <v>37.0</v>
      </c>
      <c r="T53" s="4">
        <v>45323.0</v>
      </c>
    </row>
    <row r="54">
      <c r="A54" s="2" t="s">
        <v>130</v>
      </c>
      <c r="B54" s="2" t="s">
        <v>52</v>
      </c>
      <c r="C54" s="2" t="s">
        <v>101</v>
      </c>
      <c r="D54" s="2" t="s">
        <v>58</v>
      </c>
      <c r="E54" s="2">
        <v>56.0</v>
      </c>
      <c r="F54" s="3">
        <v>45504.0</v>
      </c>
      <c r="G54" s="3">
        <v>45540.0</v>
      </c>
      <c r="H54" s="2">
        <v>1.8413284E7</v>
      </c>
      <c r="I54" s="2">
        <v>1.7340008E7</v>
      </c>
      <c r="J54" s="2" t="s">
        <v>20</v>
      </c>
      <c r="K54" s="2" t="s">
        <v>73</v>
      </c>
      <c r="L54" s="2">
        <v>51.0</v>
      </c>
      <c r="M54" s="2">
        <v>36.0</v>
      </c>
      <c r="N54" s="2">
        <v>328809.0</v>
      </c>
      <c r="O54" s="4">
        <v>45474.0</v>
      </c>
      <c r="P54" s="2" t="b">
        <v>1</v>
      </c>
      <c r="Q54" s="4">
        <f>IFERROR(__xludf.DUMMYFUNCTION("IF(ISDATE(O54),O54,L54)"),45474.0)</f>
        <v>45474</v>
      </c>
      <c r="R54" s="2">
        <v>51.0</v>
      </c>
      <c r="T54" s="4">
        <v>45474.0</v>
      </c>
    </row>
    <row r="55">
      <c r="A55" s="2" t="s">
        <v>131</v>
      </c>
      <c r="B55" s="2" t="s">
        <v>132</v>
      </c>
      <c r="C55" s="2" t="s">
        <v>28</v>
      </c>
      <c r="D55" s="2" t="s">
        <v>49</v>
      </c>
      <c r="E55" s="2">
        <v>133.0</v>
      </c>
      <c r="F55" s="3">
        <v>45261.0</v>
      </c>
      <c r="G55" s="3">
        <v>45373.0</v>
      </c>
      <c r="H55" s="2">
        <v>1.52145369E8</v>
      </c>
      <c r="I55" s="2">
        <v>1.63129147E8</v>
      </c>
      <c r="J55" s="2" t="s">
        <v>20</v>
      </c>
      <c r="K55" s="2" t="s">
        <v>73</v>
      </c>
      <c r="L55" s="2">
        <v>69.0</v>
      </c>
      <c r="M55" s="2">
        <v>112.0</v>
      </c>
      <c r="N55" s="2">
        <v>1143950.0</v>
      </c>
      <c r="O55" s="6">
        <v>45261.0</v>
      </c>
      <c r="P55" s="2" t="b">
        <v>1</v>
      </c>
      <c r="Q55" s="6">
        <f>IFERROR(__xludf.DUMMYFUNCTION("IF(ISDATE(O55),O55,L55)"),45261.0)</f>
        <v>45261</v>
      </c>
      <c r="R55" s="2">
        <v>69.0</v>
      </c>
      <c r="T55" s="6">
        <v>45261.0</v>
      </c>
    </row>
    <row r="56">
      <c r="A56" s="2" t="s">
        <v>133</v>
      </c>
      <c r="B56" s="2" t="s">
        <v>60</v>
      </c>
      <c r="C56" s="2" t="s">
        <v>40</v>
      </c>
      <c r="D56" s="2" t="s">
        <v>81</v>
      </c>
      <c r="E56" s="2">
        <v>558.0</v>
      </c>
      <c r="F56" s="3">
        <v>45901.0</v>
      </c>
      <c r="G56" s="3">
        <v>46082.0</v>
      </c>
      <c r="H56" s="2">
        <v>7.3442343E7</v>
      </c>
      <c r="I56" s="2">
        <v>7.8815803E7</v>
      </c>
      <c r="J56" s="2" t="s">
        <v>20</v>
      </c>
      <c r="K56" s="2" t="s">
        <v>21</v>
      </c>
      <c r="L56" s="2">
        <v>12.0</v>
      </c>
      <c r="M56" s="2">
        <v>181.0</v>
      </c>
      <c r="N56" s="2">
        <v>131617.0</v>
      </c>
      <c r="O56" s="4">
        <v>45901.0</v>
      </c>
      <c r="P56" s="2" t="b">
        <v>1</v>
      </c>
      <c r="Q56" s="4">
        <f>IFERROR(__xludf.DUMMYFUNCTION("IF(ISDATE(O56),O56,L56)"),45901.0)</f>
        <v>45901</v>
      </c>
      <c r="R56" s="2">
        <v>12.0</v>
      </c>
      <c r="T56" s="4">
        <v>45901.0</v>
      </c>
    </row>
    <row r="57">
      <c r="A57" s="2" t="s">
        <v>134</v>
      </c>
      <c r="B57" s="2" t="s">
        <v>135</v>
      </c>
      <c r="C57" s="2" t="s">
        <v>93</v>
      </c>
      <c r="D57" s="2" t="s">
        <v>72</v>
      </c>
      <c r="E57" s="2">
        <v>185.0</v>
      </c>
      <c r="F57" s="3">
        <v>45171.0</v>
      </c>
      <c r="G57" s="3">
        <v>45357.0</v>
      </c>
      <c r="H57" s="2">
        <v>8.9486002E7</v>
      </c>
      <c r="I57" s="2">
        <v>9.5896879E7</v>
      </c>
      <c r="J57" s="2" t="s">
        <v>20</v>
      </c>
      <c r="K57" s="2" t="s">
        <v>73</v>
      </c>
      <c r="L57" s="2">
        <v>70.0</v>
      </c>
      <c r="M57" s="2">
        <v>186.0</v>
      </c>
      <c r="N57" s="2">
        <v>483708.0</v>
      </c>
      <c r="O57" s="4">
        <v>45170.0</v>
      </c>
      <c r="P57" s="2" t="b">
        <v>1</v>
      </c>
      <c r="Q57" s="4">
        <f>IFERROR(__xludf.DUMMYFUNCTION("IF(ISDATE(O57),O57,L57)"),45170.0)</f>
        <v>45170</v>
      </c>
      <c r="R57" s="2">
        <v>70.0</v>
      </c>
      <c r="T57" s="4">
        <v>45170.0</v>
      </c>
    </row>
    <row r="58">
      <c r="A58" s="2" t="s">
        <v>136</v>
      </c>
      <c r="B58" s="2" t="s">
        <v>137</v>
      </c>
      <c r="C58" s="2" t="s">
        <v>57</v>
      </c>
      <c r="D58" s="2" t="s">
        <v>102</v>
      </c>
      <c r="E58" s="2">
        <v>177.0</v>
      </c>
      <c r="F58" s="3">
        <v>45662.0</v>
      </c>
      <c r="G58" s="3">
        <v>45718.0</v>
      </c>
      <c r="H58" s="2">
        <v>8.7500892E7</v>
      </c>
      <c r="I58" s="2">
        <v>8.2014218E7</v>
      </c>
      <c r="J58" s="2" t="s">
        <v>20</v>
      </c>
      <c r="K58" s="2" t="s">
        <v>21</v>
      </c>
      <c r="L58" s="2">
        <v>84.0</v>
      </c>
      <c r="M58" s="2">
        <v>56.0</v>
      </c>
      <c r="N58" s="2">
        <v>494355.0</v>
      </c>
      <c r="O58" s="4">
        <v>45658.0</v>
      </c>
      <c r="P58" s="2" t="b">
        <v>1</v>
      </c>
      <c r="Q58" s="4">
        <f>IFERROR(__xludf.DUMMYFUNCTION("IF(ISDATE(O58),O58,L58)"),45658.0)</f>
        <v>45658</v>
      </c>
      <c r="R58" s="2">
        <v>84.0</v>
      </c>
      <c r="T58" s="4">
        <v>45658.0</v>
      </c>
    </row>
    <row r="59">
      <c r="A59" s="2" t="s">
        <v>138</v>
      </c>
      <c r="B59" s="2" t="s">
        <v>139</v>
      </c>
      <c r="C59" s="2" t="s">
        <v>64</v>
      </c>
      <c r="D59" s="2" t="s">
        <v>49</v>
      </c>
      <c r="E59" s="2">
        <v>151.0</v>
      </c>
      <c r="F59" s="3">
        <v>45533.0</v>
      </c>
      <c r="I59" s="2">
        <v>9.0101404E7</v>
      </c>
      <c r="J59" s="2" t="s">
        <v>34</v>
      </c>
      <c r="K59" s="2" t="s">
        <v>30</v>
      </c>
      <c r="L59" s="2">
        <v>180.0</v>
      </c>
      <c r="N59" s="2">
        <v>596698.0</v>
      </c>
      <c r="O59" s="4">
        <v>45505.0</v>
      </c>
      <c r="P59" s="2" t="b">
        <v>0</v>
      </c>
      <c r="Q59" s="4">
        <f>IFERROR(__xludf.DUMMYFUNCTION("IF(ISDATE(O59),O59,L59)"),45505.0)</f>
        <v>45505</v>
      </c>
      <c r="R59" s="2">
        <v>180.0</v>
      </c>
      <c r="T59" s="4">
        <v>45505.0</v>
      </c>
    </row>
    <row r="60">
      <c r="A60" s="2" t="s">
        <v>140</v>
      </c>
      <c r="B60" s="2" t="s">
        <v>46</v>
      </c>
      <c r="C60" s="2" t="s">
        <v>64</v>
      </c>
      <c r="D60" s="2" t="s">
        <v>33</v>
      </c>
      <c r="E60" s="2">
        <v>101.0</v>
      </c>
      <c r="F60" s="3">
        <v>45472.0</v>
      </c>
      <c r="G60" s="3">
        <v>45581.0</v>
      </c>
      <c r="H60" s="2">
        <v>3.9886133E7</v>
      </c>
      <c r="I60" s="2">
        <v>4.0827721E7</v>
      </c>
      <c r="J60" s="2" t="s">
        <v>20</v>
      </c>
      <c r="K60" s="2" t="s">
        <v>21</v>
      </c>
      <c r="L60" s="2">
        <v>112.0</v>
      </c>
      <c r="M60" s="2">
        <v>109.0</v>
      </c>
      <c r="N60" s="2">
        <v>394912.0</v>
      </c>
      <c r="O60" s="4">
        <v>45444.0</v>
      </c>
      <c r="P60" s="2" t="b">
        <v>1</v>
      </c>
      <c r="Q60" s="4">
        <f>IFERROR(__xludf.DUMMYFUNCTION("IF(ISDATE(O60),O60,L60)"),45444.0)</f>
        <v>45444</v>
      </c>
      <c r="R60" s="2">
        <v>112.0</v>
      </c>
      <c r="T60" s="4">
        <v>45444.0</v>
      </c>
    </row>
    <row r="61">
      <c r="A61" s="2" t="s">
        <v>141</v>
      </c>
      <c r="B61" s="2" t="s">
        <v>142</v>
      </c>
      <c r="C61" s="2" t="s">
        <v>57</v>
      </c>
      <c r="D61" s="2" t="s">
        <v>33</v>
      </c>
      <c r="E61" s="2">
        <v>92.0</v>
      </c>
      <c r="F61" s="3">
        <v>45839.0</v>
      </c>
      <c r="I61" s="2">
        <v>2.6825623E7</v>
      </c>
      <c r="J61" s="2" t="s">
        <v>34</v>
      </c>
      <c r="K61" s="2" t="s">
        <v>42</v>
      </c>
      <c r="L61" s="2">
        <v>138.0</v>
      </c>
      <c r="N61" s="2">
        <v>291583.0</v>
      </c>
      <c r="O61" s="4">
        <v>45839.0</v>
      </c>
      <c r="P61" s="2" t="b">
        <v>0</v>
      </c>
      <c r="Q61" s="4">
        <f>IFERROR(__xludf.DUMMYFUNCTION("IF(ISDATE(O61),O61,L61)"),45839.0)</f>
        <v>45839</v>
      </c>
      <c r="R61" s="2">
        <v>138.0</v>
      </c>
      <c r="T61" s="4">
        <v>45839.0</v>
      </c>
    </row>
    <row r="62">
      <c r="A62" s="2" t="s">
        <v>143</v>
      </c>
      <c r="B62" s="2" t="s">
        <v>66</v>
      </c>
      <c r="C62" s="2" t="s">
        <v>101</v>
      </c>
      <c r="D62" s="2" t="s">
        <v>37</v>
      </c>
      <c r="E62" s="2">
        <v>615.0</v>
      </c>
      <c r="F62" s="3">
        <v>45403.0</v>
      </c>
      <c r="G62" s="3">
        <v>45605.0</v>
      </c>
      <c r="H62" s="2">
        <v>3.97088261E8</v>
      </c>
      <c r="I62" s="2">
        <v>3.85798538E8</v>
      </c>
      <c r="J62" s="2" t="s">
        <v>20</v>
      </c>
      <c r="K62" s="2" t="s">
        <v>42</v>
      </c>
      <c r="L62" s="2">
        <v>27.0</v>
      </c>
      <c r="M62" s="2">
        <v>202.0</v>
      </c>
      <c r="N62" s="2">
        <v>645672.0</v>
      </c>
      <c r="O62" s="4">
        <v>45383.0</v>
      </c>
      <c r="P62" s="2" t="b">
        <v>1</v>
      </c>
      <c r="Q62" s="4">
        <f>IFERROR(__xludf.DUMMYFUNCTION("IF(ISDATE(O62),O62,L62)"),45383.0)</f>
        <v>45383</v>
      </c>
      <c r="R62" s="2">
        <v>27.0</v>
      </c>
      <c r="T62" s="4">
        <v>45383.0</v>
      </c>
    </row>
    <row r="63">
      <c r="A63" s="2" t="s">
        <v>144</v>
      </c>
      <c r="B63" s="2" t="s">
        <v>145</v>
      </c>
      <c r="C63" s="2" t="s">
        <v>24</v>
      </c>
      <c r="D63" s="2" t="s">
        <v>81</v>
      </c>
      <c r="E63" s="2">
        <v>2397.0</v>
      </c>
      <c r="F63" s="3">
        <v>45551.0</v>
      </c>
      <c r="G63" s="3">
        <v>45652.0</v>
      </c>
      <c r="H63" s="2">
        <v>8.05337347E8</v>
      </c>
      <c r="I63" s="2">
        <v>8.50559015E8</v>
      </c>
      <c r="J63" s="2" t="s">
        <v>20</v>
      </c>
      <c r="K63" s="2" t="s">
        <v>42</v>
      </c>
      <c r="L63" s="2">
        <v>129.0</v>
      </c>
      <c r="M63" s="2">
        <v>101.0</v>
      </c>
      <c r="N63" s="2">
        <v>335977.0</v>
      </c>
      <c r="O63" s="4">
        <v>45536.0</v>
      </c>
      <c r="P63" s="2" t="b">
        <v>1</v>
      </c>
      <c r="Q63" s="4">
        <f>IFERROR(__xludf.DUMMYFUNCTION("IF(ISDATE(O63),O63,L63)"),45536.0)</f>
        <v>45536</v>
      </c>
      <c r="R63" s="2">
        <v>129.0</v>
      </c>
      <c r="T63" s="4">
        <v>45536.0</v>
      </c>
    </row>
    <row r="64">
      <c r="A64" s="2" t="s">
        <v>146</v>
      </c>
      <c r="B64" s="2" t="s">
        <v>63</v>
      </c>
      <c r="C64" s="2" t="s">
        <v>28</v>
      </c>
      <c r="D64" s="2" t="s">
        <v>37</v>
      </c>
      <c r="E64" s="2">
        <v>474.0</v>
      </c>
      <c r="F64" s="3">
        <v>45645.0</v>
      </c>
      <c r="I64" s="2">
        <v>7.57022097E8</v>
      </c>
      <c r="J64" s="2" t="s">
        <v>34</v>
      </c>
      <c r="K64" s="2" t="s">
        <v>42</v>
      </c>
      <c r="L64" s="2">
        <v>26.0</v>
      </c>
      <c r="N64" s="2">
        <v>1597093.0</v>
      </c>
      <c r="O64" s="6">
        <v>45627.0</v>
      </c>
      <c r="P64" s="2" t="b">
        <v>0</v>
      </c>
      <c r="Q64" s="6">
        <f>IFERROR(__xludf.DUMMYFUNCTION("IF(ISDATE(O64),O64,L64)"),45627.0)</f>
        <v>45627</v>
      </c>
      <c r="R64" s="2">
        <v>26.0</v>
      </c>
      <c r="T64" s="6">
        <v>45627.0</v>
      </c>
    </row>
    <row r="65">
      <c r="A65" s="2" t="s">
        <v>147</v>
      </c>
      <c r="B65" s="2" t="s">
        <v>84</v>
      </c>
      <c r="C65" s="2" t="s">
        <v>28</v>
      </c>
      <c r="D65" s="2" t="s">
        <v>49</v>
      </c>
      <c r="E65" s="2">
        <v>175.0</v>
      </c>
      <c r="F65" s="3">
        <v>45634.0</v>
      </c>
      <c r="G65" s="3">
        <v>45831.0</v>
      </c>
      <c r="H65" s="2">
        <v>2.17897917E8</v>
      </c>
      <c r="I65" s="2">
        <v>2.2811063E8</v>
      </c>
      <c r="J65" s="2" t="s">
        <v>20</v>
      </c>
      <c r="K65" s="2" t="s">
        <v>21</v>
      </c>
      <c r="L65" s="2">
        <v>80.0</v>
      </c>
      <c r="M65" s="2">
        <v>197.0</v>
      </c>
      <c r="N65" s="2">
        <v>1245131.0</v>
      </c>
      <c r="O65" s="6">
        <v>45627.0</v>
      </c>
      <c r="P65" s="2" t="b">
        <v>1</v>
      </c>
      <c r="Q65" s="6">
        <f>IFERROR(__xludf.DUMMYFUNCTION("IF(ISDATE(O65),O65,L65)"),45627.0)</f>
        <v>45627</v>
      </c>
      <c r="R65" s="2">
        <v>80.0</v>
      </c>
      <c r="T65" s="6">
        <v>45627.0</v>
      </c>
    </row>
    <row r="66">
      <c r="A66" s="2" t="s">
        <v>148</v>
      </c>
      <c r="B66" s="2" t="s">
        <v>36</v>
      </c>
      <c r="C66" s="2" t="s">
        <v>28</v>
      </c>
      <c r="D66" s="2" t="s">
        <v>72</v>
      </c>
      <c r="E66" s="2">
        <v>258.0</v>
      </c>
      <c r="F66" s="3">
        <v>45411.0</v>
      </c>
      <c r="G66" s="3">
        <v>45514.0</v>
      </c>
      <c r="H66" s="2">
        <v>4.0271435E8</v>
      </c>
      <c r="I66" s="2">
        <v>4.18561026E8</v>
      </c>
      <c r="J66" s="2" t="s">
        <v>20</v>
      </c>
      <c r="K66" s="2" t="s">
        <v>30</v>
      </c>
      <c r="L66" s="2">
        <v>95.0</v>
      </c>
      <c r="M66" s="2">
        <v>103.0</v>
      </c>
      <c r="N66" s="2">
        <v>1560908.0</v>
      </c>
      <c r="O66" s="4">
        <v>45383.0</v>
      </c>
      <c r="P66" s="2" t="b">
        <v>1</v>
      </c>
      <c r="Q66" s="4">
        <f>IFERROR(__xludf.DUMMYFUNCTION("IF(ISDATE(O66),O66,L66)"),45383.0)</f>
        <v>45383</v>
      </c>
      <c r="R66" s="2">
        <v>95.0</v>
      </c>
      <c r="T66" s="4">
        <v>45383.0</v>
      </c>
    </row>
    <row r="67">
      <c r="A67" s="2" t="s">
        <v>149</v>
      </c>
      <c r="B67" s="2" t="s">
        <v>17</v>
      </c>
      <c r="C67" s="2" t="s">
        <v>18</v>
      </c>
      <c r="D67" s="2" t="s">
        <v>37</v>
      </c>
      <c r="E67" s="2">
        <v>456.0</v>
      </c>
      <c r="F67" s="3">
        <v>45050.0</v>
      </c>
      <c r="I67" s="2">
        <v>2.52194579E8</v>
      </c>
      <c r="J67" s="2" t="s">
        <v>69</v>
      </c>
      <c r="K67" s="2" t="s">
        <v>25</v>
      </c>
      <c r="L67" s="2">
        <v>52.0</v>
      </c>
      <c r="N67" s="2">
        <v>553058.0</v>
      </c>
      <c r="O67" s="4">
        <v>45047.0</v>
      </c>
      <c r="P67" s="2" t="b">
        <v>0</v>
      </c>
      <c r="Q67" s="4">
        <f>IFERROR(__xludf.DUMMYFUNCTION("IF(ISDATE(O67),O67,L67)"),45047.0)</f>
        <v>45047</v>
      </c>
      <c r="R67" s="2">
        <v>52.0</v>
      </c>
      <c r="T67" s="4">
        <v>45047.0</v>
      </c>
    </row>
    <row r="68">
      <c r="A68" s="2" t="s">
        <v>150</v>
      </c>
      <c r="B68" s="2" t="s">
        <v>109</v>
      </c>
      <c r="C68" s="2" t="s">
        <v>28</v>
      </c>
      <c r="D68" s="2" t="s">
        <v>81</v>
      </c>
      <c r="E68" s="2">
        <v>2665.0</v>
      </c>
      <c r="F68" s="3">
        <v>45538.0</v>
      </c>
      <c r="G68" s="3">
        <v>45578.0</v>
      </c>
      <c r="H68" s="2">
        <v>1.607944236E9</v>
      </c>
      <c r="I68" s="2">
        <v>1.555524344E9</v>
      </c>
      <c r="J68" s="2" t="s">
        <v>20</v>
      </c>
      <c r="K68" s="2" t="s">
        <v>30</v>
      </c>
      <c r="L68" s="2">
        <v>50.0</v>
      </c>
      <c r="M68" s="2">
        <v>40.0</v>
      </c>
      <c r="N68" s="2">
        <v>603356.0</v>
      </c>
      <c r="O68" s="4">
        <v>45536.0</v>
      </c>
      <c r="P68" s="2" t="b">
        <v>1</v>
      </c>
      <c r="Q68" s="4">
        <f>IFERROR(__xludf.DUMMYFUNCTION("IF(ISDATE(O68),O68,L68)"),45536.0)</f>
        <v>45536</v>
      </c>
      <c r="R68" s="2">
        <v>50.0</v>
      </c>
      <c r="T68" s="4">
        <v>45536.0</v>
      </c>
    </row>
    <row r="69">
      <c r="A69" s="2" t="s">
        <v>151</v>
      </c>
      <c r="B69" s="2" t="s">
        <v>92</v>
      </c>
      <c r="C69" s="2" t="s">
        <v>24</v>
      </c>
      <c r="D69" s="2" t="s">
        <v>58</v>
      </c>
      <c r="E69" s="2">
        <v>82.0</v>
      </c>
      <c r="F69" s="3">
        <v>45924.0</v>
      </c>
      <c r="G69" s="3">
        <v>46013.0</v>
      </c>
      <c r="H69" s="2">
        <v>6.6191332E7</v>
      </c>
      <c r="I69" s="2">
        <v>6.2233402E7</v>
      </c>
      <c r="J69" s="2" t="s">
        <v>20</v>
      </c>
      <c r="K69" s="2" t="s">
        <v>73</v>
      </c>
      <c r="L69" s="2">
        <v>31.0</v>
      </c>
      <c r="M69" s="2">
        <v>89.0</v>
      </c>
      <c r="N69" s="2">
        <v>807211.0</v>
      </c>
      <c r="O69" s="4">
        <v>45901.0</v>
      </c>
      <c r="P69" s="2" t="b">
        <v>1</v>
      </c>
      <c r="Q69" s="4">
        <f>IFERROR(__xludf.DUMMYFUNCTION("IF(ISDATE(O69),O69,L69)"),45901.0)</f>
        <v>45901</v>
      </c>
      <c r="R69" s="2">
        <v>31.0</v>
      </c>
      <c r="T69" s="4">
        <v>45901.0</v>
      </c>
    </row>
    <row r="70">
      <c r="A70" s="2" t="s">
        <v>152</v>
      </c>
      <c r="B70" s="2" t="s">
        <v>153</v>
      </c>
      <c r="C70" s="2" t="s">
        <v>40</v>
      </c>
      <c r="D70" s="2" t="s">
        <v>29</v>
      </c>
      <c r="E70" s="2">
        <v>2729.0</v>
      </c>
      <c r="F70" s="3">
        <v>45378.0</v>
      </c>
      <c r="G70" s="3">
        <v>45406.0</v>
      </c>
      <c r="H70" s="2">
        <v>2.91966233E8</v>
      </c>
      <c r="I70" s="2">
        <v>3.08863975E8</v>
      </c>
      <c r="J70" s="2" t="s">
        <v>20</v>
      </c>
      <c r="K70" s="2" t="s">
        <v>21</v>
      </c>
      <c r="L70" s="2">
        <v>21.0</v>
      </c>
      <c r="M70" s="2">
        <v>28.0</v>
      </c>
      <c r="N70" s="2">
        <v>106987.0</v>
      </c>
      <c r="O70" s="4">
        <v>45352.0</v>
      </c>
      <c r="P70" s="2" t="b">
        <v>1</v>
      </c>
      <c r="Q70" s="4">
        <f>IFERROR(__xludf.DUMMYFUNCTION("IF(ISDATE(O70),O70,L70)"),45352.0)</f>
        <v>45352</v>
      </c>
      <c r="R70" s="2">
        <v>21.0</v>
      </c>
      <c r="T70" s="4">
        <v>45352.0</v>
      </c>
    </row>
    <row r="71">
      <c r="A71" s="2" t="s">
        <v>154</v>
      </c>
      <c r="B71" s="2" t="s">
        <v>27</v>
      </c>
      <c r="C71" s="2" t="s">
        <v>24</v>
      </c>
      <c r="D71" s="2" t="s">
        <v>33</v>
      </c>
      <c r="E71" s="2">
        <v>101.0</v>
      </c>
      <c r="F71" s="3">
        <v>45079.0</v>
      </c>
      <c r="I71" s="2">
        <v>5.803935E7</v>
      </c>
      <c r="J71" s="2" t="s">
        <v>69</v>
      </c>
      <c r="K71" s="2" t="s">
        <v>42</v>
      </c>
      <c r="L71" s="2">
        <v>35.0</v>
      </c>
      <c r="N71" s="2">
        <v>574647.0</v>
      </c>
      <c r="O71" s="4">
        <v>45078.0</v>
      </c>
      <c r="P71" s="2" t="b">
        <v>0</v>
      </c>
      <c r="Q71" s="4">
        <f>IFERROR(__xludf.DUMMYFUNCTION("IF(ISDATE(O71),O71,L71)"),45078.0)</f>
        <v>45078</v>
      </c>
      <c r="R71" s="2">
        <v>35.0</v>
      </c>
      <c r="T71" s="4">
        <v>45078.0</v>
      </c>
    </row>
    <row r="72">
      <c r="A72" s="2" t="s">
        <v>155</v>
      </c>
      <c r="B72" s="2" t="s">
        <v>109</v>
      </c>
      <c r="C72" s="2" t="s">
        <v>64</v>
      </c>
      <c r="D72" s="2" t="s">
        <v>49</v>
      </c>
      <c r="E72" s="2">
        <v>205.0</v>
      </c>
      <c r="F72" s="3">
        <v>45158.0</v>
      </c>
      <c r="I72" s="2">
        <v>1.33051077E8</v>
      </c>
      <c r="J72" s="2" t="s">
        <v>69</v>
      </c>
      <c r="K72" s="2" t="s">
        <v>73</v>
      </c>
      <c r="L72" s="2">
        <v>81.0</v>
      </c>
      <c r="N72" s="2">
        <v>649030.0</v>
      </c>
      <c r="O72" s="4">
        <v>45139.0</v>
      </c>
      <c r="P72" s="2" t="b">
        <v>0</v>
      </c>
      <c r="Q72" s="4">
        <f>IFERROR(__xludf.DUMMYFUNCTION("IF(ISDATE(O72),O72,L72)"),45139.0)</f>
        <v>45139</v>
      </c>
      <c r="R72" s="2">
        <v>81.0</v>
      </c>
      <c r="T72" s="4">
        <v>45139.0</v>
      </c>
    </row>
    <row r="73">
      <c r="A73" s="2" t="s">
        <v>156</v>
      </c>
      <c r="B73" s="2" t="s">
        <v>109</v>
      </c>
      <c r="C73" s="2" t="s">
        <v>40</v>
      </c>
      <c r="D73" s="2" t="s">
        <v>49</v>
      </c>
      <c r="E73" s="2">
        <v>128.0</v>
      </c>
      <c r="F73" s="3">
        <v>44988.0</v>
      </c>
      <c r="G73" s="3">
        <v>45192.0</v>
      </c>
      <c r="H73" s="2">
        <v>3.9858265E7</v>
      </c>
      <c r="I73" s="2">
        <v>4.1533824E7</v>
      </c>
      <c r="J73" s="2" t="s">
        <v>20</v>
      </c>
      <c r="K73" s="2" t="s">
        <v>42</v>
      </c>
      <c r="L73" s="2">
        <v>72.0</v>
      </c>
      <c r="M73" s="2">
        <v>204.0</v>
      </c>
      <c r="N73" s="2">
        <v>311393.0</v>
      </c>
      <c r="O73" s="4">
        <v>44986.0</v>
      </c>
      <c r="P73" s="2" t="b">
        <v>1</v>
      </c>
      <c r="Q73" s="4">
        <f>IFERROR(__xludf.DUMMYFUNCTION("IF(ISDATE(O73),O73,L73)"),44986.0)</f>
        <v>44986</v>
      </c>
      <c r="R73" s="2">
        <v>72.0</v>
      </c>
      <c r="T73" s="4">
        <v>44986.0</v>
      </c>
    </row>
    <row r="74">
      <c r="A74" s="2" t="s">
        <v>157</v>
      </c>
      <c r="B74" s="2" t="s">
        <v>44</v>
      </c>
      <c r="C74" s="2" t="s">
        <v>18</v>
      </c>
      <c r="D74" s="2" t="s">
        <v>102</v>
      </c>
      <c r="E74" s="2">
        <v>130.0</v>
      </c>
      <c r="F74" s="3">
        <v>45003.0</v>
      </c>
      <c r="G74" s="3">
        <v>45122.0</v>
      </c>
      <c r="H74" s="2">
        <v>4.6874167E7</v>
      </c>
      <c r="I74" s="2">
        <v>4.7577738E7</v>
      </c>
      <c r="J74" s="2" t="s">
        <v>20</v>
      </c>
      <c r="K74" s="2" t="s">
        <v>30</v>
      </c>
      <c r="L74" s="2">
        <v>13.0</v>
      </c>
      <c r="M74" s="2">
        <v>119.0</v>
      </c>
      <c r="N74" s="2">
        <v>360571.0</v>
      </c>
      <c r="O74" s="4">
        <v>44986.0</v>
      </c>
      <c r="P74" s="2" t="b">
        <v>1</v>
      </c>
      <c r="Q74" s="4">
        <f>IFERROR(__xludf.DUMMYFUNCTION("IF(ISDATE(O74),O74,L74)"),44986.0)</f>
        <v>44986</v>
      </c>
      <c r="R74" s="2">
        <v>13.0</v>
      </c>
      <c r="T74" s="4">
        <v>44986.0</v>
      </c>
    </row>
    <row r="75">
      <c r="A75" s="2" t="s">
        <v>158</v>
      </c>
      <c r="B75" s="2" t="s">
        <v>56</v>
      </c>
      <c r="C75" s="2" t="s">
        <v>28</v>
      </c>
      <c r="D75" s="2" t="s">
        <v>37</v>
      </c>
      <c r="E75" s="2">
        <v>532.0</v>
      </c>
      <c r="F75" s="3">
        <v>45166.0</v>
      </c>
      <c r="I75" s="2">
        <v>1.080312509E9</v>
      </c>
      <c r="J75" s="2" t="s">
        <v>34</v>
      </c>
      <c r="K75" s="2" t="s">
        <v>42</v>
      </c>
      <c r="L75" s="2">
        <v>113.0</v>
      </c>
      <c r="N75" s="2">
        <v>2030663.0</v>
      </c>
      <c r="O75" s="4">
        <v>45139.0</v>
      </c>
      <c r="P75" s="2" t="b">
        <v>0</v>
      </c>
      <c r="Q75" s="4">
        <f>IFERROR(__xludf.DUMMYFUNCTION("IF(ISDATE(O75),O75,L75)"),45139.0)</f>
        <v>45139</v>
      </c>
      <c r="R75" s="2">
        <v>113.0</v>
      </c>
      <c r="T75" s="4">
        <v>45139.0</v>
      </c>
    </row>
    <row r="76">
      <c r="A76" s="2" t="s">
        <v>159</v>
      </c>
      <c r="B76" s="2" t="s">
        <v>160</v>
      </c>
      <c r="C76" s="2" t="s">
        <v>28</v>
      </c>
      <c r="D76" s="2" t="s">
        <v>72</v>
      </c>
      <c r="E76" s="2">
        <v>345.0</v>
      </c>
      <c r="F76" s="3">
        <v>45773.0</v>
      </c>
      <c r="G76" s="3">
        <v>45803.0</v>
      </c>
      <c r="H76" s="2">
        <v>4.83705437E8</v>
      </c>
      <c r="I76" s="2">
        <v>4.68815963E8</v>
      </c>
      <c r="J76" s="2" t="s">
        <v>20</v>
      </c>
      <c r="K76" s="2" t="s">
        <v>25</v>
      </c>
      <c r="L76" s="2">
        <v>78.0</v>
      </c>
      <c r="M76" s="2">
        <v>30.0</v>
      </c>
      <c r="N76" s="2">
        <v>1402045.0</v>
      </c>
      <c r="O76" s="4">
        <v>45748.0</v>
      </c>
      <c r="P76" s="2" t="b">
        <v>1</v>
      </c>
      <c r="Q76" s="4">
        <f>IFERROR(__xludf.DUMMYFUNCTION("IF(ISDATE(O76),O76,L76)"),45748.0)</f>
        <v>45748</v>
      </c>
      <c r="R76" s="2">
        <v>78.0</v>
      </c>
      <c r="T76" s="4">
        <v>45748.0</v>
      </c>
    </row>
    <row r="77">
      <c r="A77" s="2" t="s">
        <v>161</v>
      </c>
      <c r="B77" s="2" t="s">
        <v>75</v>
      </c>
      <c r="C77" s="2" t="s">
        <v>24</v>
      </c>
      <c r="D77" s="2" t="s">
        <v>81</v>
      </c>
      <c r="E77" s="2">
        <v>2891.0</v>
      </c>
      <c r="F77" s="3">
        <v>45439.0</v>
      </c>
      <c r="G77" s="3">
        <v>45566.0</v>
      </c>
      <c r="H77" s="2">
        <v>9.94645453E8</v>
      </c>
      <c r="I77" s="2">
        <v>9.21417392E8</v>
      </c>
      <c r="J77" s="2" t="s">
        <v>20</v>
      </c>
      <c r="K77" s="2" t="s">
        <v>73</v>
      </c>
      <c r="L77" s="2">
        <v>87.0</v>
      </c>
      <c r="M77" s="2">
        <v>127.0</v>
      </c>
      <c r="N77" s="2">
        <v>344049.0</v>
      </c>
      <c r="O77" s="4">
        <v>45413.0</v>
      </c>
      <c r="P77" s="2" t="b">
        <v>1</v>
      </c>
      <c r="Q77" s="4">
        <f>IFERROR(__xludf.DUMMYFUNCTION("IF(ISDATE(O77),O77,L77)"),45413.0)</f>
        <v>45413</v>
      </c>
      <c r="R77" s="2">
        <v>87.0</v>
      </c>
      <c r="T77" s="4">
        <v>45413.0</v>
      </c>
    </row>
    <row r="78">
      <c r="A78" s="2" t="s">
        <v>162</v>
      </c>
      <c r="B78" s="2" t="s">
        <v>163</v>
      </c>
      <c r="C78" s="2" t="s">
        <v>64</v>
      </c>
      <c r="D78" s="2" t="s">
        <v>19</v>
      </c>
      <c r="E78" s="2">
        <v>42.0</v>
      </c>
      <c r="F78" s="3">
        <v>45783.0</v>
      </c>
      <c r="I78" s="2">
        <v>1.9765002E7</v>
      </c>
      <c r="J78" s="2" t="s">
        <v>34</v>
      </c>
      <c r="K78" s="2" t="s">
        <v>30</v>
      </c>
      <c r="M78" s="2">
        <v>152.0</v>
      </c>
      <c r="N78" s="2">
        <v>470595.0</v>
      </c>
      <c r="O78" s="4">
        <v>45778.0</v>
      </c>
      <c r="P78" s="2" t="b">
        <v>0</v>
      </c>
      <c r="Q78" s="4">
        <f>IFERROR(__xludf.DUMMYFUNCTION("IF(ISDATE(O78),O78,L78)"),45778.0)</f>
        <v>45778</v>
      </c>
      <c r="T78" s="4">
        <v>45778.0</v>
      </c>
    </row>
    <row r="79">
      <c r="A79" s="2" t="s">
        <v>164</v>
      </c>
      <c r="B79" s="2" t="s">
        <v>165</v>
      </c>
      <c r="C79" s="2" t="s">
        <v>28</v>
      </c>
      <c r="D79" s="2" t="s">
        <v>102</v>
      </c>
      <c r="E79" s="2">
        <v>160.0</v>
      </c>
      <c r="F79" s="3">
        <v>45379.0</v>
      </c>
      <c r="I79" s="2">
        <v>2.12292292E8</v>
      </c>
      <c r="J79" s="2" t="s">
        <v>41</v>
      </c>
      <c r="K79" s="2" t="s">
        <v>73</v>
      </c>
      <c r="M79" s="2">
        <v>167.0</v>
      </c>
      <c r="N79" s="2">
        <v>1326827.0</v>
      </c>
      <c r="O79" s="4">
        <v>45352.0</v>
      </c>
      <c r="P79" s="2" t="b">
        <v>0</v>
      </c>
      <c r="Q79" s="4">
        <f>IFERROR(__xludf.DUMMYFUNCTION("IF(ISDATE(O79),O79,L79)"),45352.0)</f>
        <v>45352</v>
      </c>
      <c r="T79" s="4">
        <v>45352.0</v>
      </c>
    </row>
    <row r="80">
      <c r="A80" s="2" t="s">
        <v>166</v>
      </c>
      <c r="B80" s="2" t="s">
        <v>123</v>
      </c>
      <c r="C80" s="2" t="s">
        <v>57</v>
      </c>
      <c r="D80" s="2" t="s">
        <v>33</v>
      </c>
      <c r="E80" s="2">
        <v>95.0</v>
      </c>
      <c r="F80" s="3">
        <v>45268.0</v>
      </c>
      <c r="G80" s="3">
        <v>45309.0</v>
      </c>
      <c r="H80" s="2">
        <v>3.6270034E7</v>
      </c>
      <c r="I80" s="2">
        <v>3.5282349E7</v>
      </c>
      <c r="J80" s="2" t="s">
        <v>20</v>
      </c>
      <c r="K80" s="2" t="s">
        <v>73</v>
      </c>
      <c r="L80" s="2">
        <v>78.0</v>
      </c>
      <c r="M80" s="2">
        <v>41.0</v>
      </c>
      <c r="N80" s="2">
        <v>381790.0</v>
      </c>
      <c r="O80" s="6">
        <v>45261.0</v>
      </c>
      <c r="P80" s="2" t="b">
        <v>1</v>
      </c>
      <c r="Q80" s="6">
        <f>IFERROR(__xludf.DUMMYFUNCTION("IF(ISDATE(O80),O80,L80)"),45261.0)</f>
        <v>45261</v>
      </c>
      <c r="R80" s="2">
        <v>78.0</v>
      </c>
      <c r="T80" s="6">
        <v>45261.0</v>
      </c>
    </row>
    <row r="81">
      <c r="A81" s="2" t="s">
        <v>167</v>
      </c>
      <c r="B81" s="2" t="s">
        <v>60</v>
      </c>
      <c r="C81" s="2" t="s">
        <v>18</v>
      </c>
      <c r="D81" s="2" t="s">
        <v>49</v>
      </c>
      <c r="E81" s="2">
        <v>258.0</v>
      </c>
      <c r="F81" s="3">
        <v>45392.0</v>
      </c>
      <c r="G81" s="3">
        <v>45471.0</v>
      </c>
      <c r="H81" s="2">
        <v>9.9043447E7</v>
      </c>
      <c r="I81" s="2">
        <v>1.06494441E8</v>
      </c>
      <c r="J81" s="2" t="s">
        <v>20</v>
      </c>
      <c r="K81" s="2" t="s">
        <v>73</v>
      </c>
      <c r="L81" s="2">
        <v>136.0</v>
      </c>
      <c r="M81" s="2">
        <v>79.0</v>
      </c>
      <c r="N81" s="2">
        <v>383889.0</v>
      </c>
      <c r="O81" s="4">
        <v>45383.0</v>
      </c>
      <c r="P81" s="2" t="b">
        <v>1</v>
      </c>
      <c r="Q81" s="4">
        <f>IFERROR(__xludf.DUMMYFUNCTION("IF(ISDATE(O81),O81,L81)"),45383.0)</f>
        <v>45383</v>
      </c>
      <c r="R81" s="2">
        <v>136.0</v>
      </c>
      <c r="T81" s="4">
        <v>45383.0</v>
      </c>
    </row>
    <row r="82">
      <c r="A82" s="2" t="s">
        <v>168</v>
      </c>
      <c r="B82" s="2" t="s">
        <v>66</v>
      </c>
      <c r="C82" s="2" t="s">
        <v>57</v>
      </c>
      <c r="D82" s="2" t="s">
        <v>19</v>
      </c>
      <c r="E82" s="2">
        <v>61.0</v>
      </c>
      <c r="F82" s="3">
        <v>45350.0</v>
      </c>
      <c r="G82" s="3">
        <v>45497.0</v>
      </c>
      <c r="H82" s="2">
        <v>1.6504257E7</v>
      </c>
      <c r="I82" s="2">
        <v>1.7181441E7</v>
      </c>
      <c r="J82" s="2" t="s">
        <v>20</v>
      </c>
      <c r="K82" s="2" t="s">
        <v>73</v>
      </c>
      <c r="L82" s="2">
        <v>18.0</v>
      </c>
      <c r="M82" s="2">
        <v>147.0</v>
      </c>
      <c r="N82" s="2">
        <v>270562.0</v>
      </c>
      <c r="O82" s="4">
        <v>45323.0</v>
      </c>
      <c r="P82" s="2" t="b">
        <v>1</v>
      </c>
      <c r="Q82" s="4">
        <f>IFERROR(__xludf.DUMMYFUNCTION("IF(ISDATE(O82),O82,L82)"),45323.0)</f>
        <v>45323</v>
      </c>
      <c r="R82" s="2">
        <v>18.0</v>
      </c>
      <c r="T82" s="4">
        <v>45323.0</v>
      </c>
    </row>
    <row r="83">
      <c r="A83" s="2" t="s">
        <v>169</v>
      </c>
      <c r="B83" s="2" t="s">
        <v>39</v>
      </c>
      <c r="C83" s="2" t="s">
        <v>28</v>
      </c>
      <c r="D83" s="2" t="s">
        <v>58</v>
      </c>
      <c r="E83" s="2">
        <v>83.0</v>
      </c>
      <c r="F83" s="3">
        <v>45828.0</v>
      </c>
      <c r="I83" s="2">
        <v>6.6860415E7</v>
      </c>
      <c r="J83" s="2" t="s">
        <v>41</v>
      </c>
      <c r="K83" s="2" t="s">
        <v>25</v>
      </c>
      <c r="L83" s="2">
        <v>66.0</v>
      </c>
      <c r="N83" s="2">
        <v>805547.0</v>
      </c>
      <c r="O83" s="4">
        <v>45809.0</v>
      </c>
      <c r="P83" s="2" t="b">
        <v>0</v>
      </c>
      <c r="Q83" s="4">
        <f>IFERROR(__xludf.DUMMYFUNCTION("IF(ISDATE(O83),O83,L83)"),45809.0)</f>
        <v>45809</v>
      </c>
      <c r="R83" s="2">
        <v>66.0</v>
      </c>
      <c r="T83" s="4">
        <v>45809.0</v>
      </c>
    </row>
    <row r="84">
      <c r="A84" s="2" t="s">
        <v>170</v>
      </c>
      <c r="B84" s="2" t="s">
        <v>121</v>
      </c>
      <c r="C84" s="2" t="s">
        <v>18</v>
      </c>
      <c r="D84" s="2" t="s">
        <v>37</v>
      </c>
      <c r="E84" s="2">
        <v>582.0</v>
      </c>
      <c r="F84" s="3">
        <v>45344.0</v>
      </c>
      <c r="G84" s="3">
        <v>45388.0</v>
      </c>
      <c r="H84" s="2">
        <v>3.70909042E8</v>
      </c>
      <c r="I84" s="2">
        <v>3.48207399E8</v>
      </c>
      <c r="J84" s="2" t="s">
        <v>20</v>
      </c>
      <c r="K84" s="2" t="s">
        <v>42</v>
      </c>
      <c r="L84" s="2">
        <v>132.0</v>
      </c>
      <c r="M84" s="2">
        <v>44.0</v>
      </c>
      <c r="N84" s="2">
        <v>637301.0</v>
      </c>
      <c r="O84" s="4">
        <v>45323.0</v>
      </c>
      <c r="P84" s="2" t="b">
        <v>1</v>
      </c>
      <c r="Q84" s="4">
        <f>IFERROR(__xludf.DUMMYFUNCTION("IF(ISDATE(O84),O84,L84)"),45323.0)</f>
        <v>45323</v>
      </c>
      <c r="R84" s="2">
        <v>132.0</v>
      </c>
      <c r="T84" s="4">
        <v>45323.0</v>
      </c>
    </row>
    <row r="85">
      <c r="A85" s="2" t="s">
        <v>171</v>
      </c>
      <c r="B85" s="2" t="s">
        <v>39</v>
      </c>
      <c r="C85" s="2" t="s">
        <v>93</v>
      </c>
      <c r="D85" s="2" t="s">
        <v>37</v>
      </c>
      <c r="E85" s="2">
        <v>560.0</v>
      </c>
      <c r="F85" s="3">
        <v>45781.0</v>
      </c>
      <c r="G85" s="3">
        <v>45916.0</v>
      </c>
      <c r="H85" s="2">
        <v>3.50193177E8</v>
      </c>
      <c r="I85" s="2">
        <v>3.53065605E8</v>
      </c>
      <c r="J85" s="2" t="s">
        <v>20</v>
      </c>
      <c r="K85" s="2" t="s">
        <v>73</v>
      </c>
      <c r="L85" s="2">
        <v>53.0</v>
      </c>
      <c r="M85" s="2">
        <v>135.0</v>
      </c>
      <c r="N85" s="2">
        <v>625345.0</v>
      </c>
      <c r="O85" s="4">
        <v>45778.0</v>
      </c>
      <c r="P85" s="2" t="b">
        <v>1</v>
      </c>
      <c r="Q85" s="4">
        <f>IFERROR(__xludf.DUMMYFUNCTION("IF(ISDATE(O85),O85,L85)"),45778.0)</f>
        <v>45778</v>
      </c>
      <c r="R85" s="2">
        <v>53.0</v>
      </c>
      <c r="T85" s="4">
        <v>45778.0</v>
      </c>
    </row>
    <row r="86">
      <c r="A86" s="2" t="s">
        <v>172</v>
      </c>
      <c r="B86" s="2" t="s">
        <v>173</v>
      </c>
      <c r="C86" s="2" t="s">
        <v>93</v>
      </c>
      <c r="D86" s="2" t="s">
        <v>58</v>
      </c>
      <c r="E86" s="2">
        <v>241.0</v>
      </c>
      <c r="F86" s="3">
        <v>45209.0</v>
      </c>
      <c r="G86" s="2">
        <v>7.8412611E7</v>
      </c>
      <c r="H86" s="2" t="s">
        <v>69</v>
      </c>
      <c r="I86" s="2" t="s">
        <v>25</v>
      </c>
      <c r="J86" s="2">
        <v>73.0</v>
      </c>
      <c r="K86" s="2">
        <v>325364.0</v>
      </c>
      <c r="L86" s="6">
        <v>45200.0</v>
      </c>
      <c r="M86" s="2" t="b">
        <v>0</v>
      </c>
      <c r="Q86" s="6">
        <f>IFERROR(__xludf.DUMMYFUNCTION("IF(ISDATE(O86),O86,L86)"),45200.0)</f>
        <v>45200</v>
      </c>
      <c r="R86" s="2">
        <v>73.0</v>
      </c>
      <c r="T86" s="6">
        <v>45200.0</v>
      </c>
    </row>
    <row r="87">
      <c r="A87" s="2" t="s">
        <v>174</v>
      </c>
      <c r="B87" s="2" t="s">
        <v>109</v>
      </c>
      <c r="C87" s="2" t="s">
        <v>57</v>
      </c>
      <c r="D87" s="2" t="s">
        <v>37</v>
      </c>
      <c r="E87" s="2">
        <v>452.0</v>
      </c>
      <c r="F87" s="3">
        <v>45602.0</v>
      </c>
      <c r="G87" s="3">
        <v>45655.0</v>
      </c>
      <c r="H87" s="2">
        <v>3.27314781E8</v>
      </c>
      <c r="I87" s="2">
        <v>3.26494733E8</v>
      </c>
      <c r="J87" s="2" t="s">
        <v>20</v>
      </c>
      <c r="K87" s="2" t="s">
        <v>30</v>
      </c>
      <c r="L87" s="2">
        <v>146.0</v>
      </c>
      <c r="M87" s="2">
        <v>53.0</v>
      </c>
      <c r="N87" s="2">
        <v>724148.0</v>
      </c>
      <c r="O87" s="6">
        <v>45597.0</v>
      </c>
      <c r="P87" s="2" t="b">
        <v>1</v>
      </c>
      <c r="Q87" s="6">
        <f>IFERROR(__xludf.DUMMYFUNCTION("IF(ISDATE(O87),O87,L87)"),45597.0)</f>
        <v>45597</v>
      </c>
      <c r="R87" s="2">
        <v>146.0</v>
      </c>
      <c r="T87" s="6">
        <v>45597.0</v>
      </c>
    </row>
    <row r="88">
      <c r="A88" s="2" t="s">
        <v>175</v>
      </c>
      <c r="B88" s="2" t="s">
        <v>88</v>
      </c>
      <c r="C88" s="2" t="s">
        <v>57</v>
      </c>
      <c r="D88" s="2" t="s">
        <v>49</v>
      </c>
      <c r="E88" s="2">
        <v>166.0</v>
      </c>
      <c r="F88" s="3">
        <v>45931.0</v>
      </c>
      <c r="G88" s="2">
        <v>7.460511E7</v>
      </c>
      <c r="H88" s="2" t="s">
        <v>34</v>
      </c>
      <c r="I88" s="2" t="s">
        <v>73</v>
      </c>
      <c r="J88" s="2">
        <v>16.0</v>
      </c>
      <c r="K88" s="2">
        <v>449428.0</v>
      </c>
      <c r="L88" s="6">
        <v>45931.0</v>
      </c>
      <c r="M88" s="2" t="b">
        <v>0</v>
      </c>
      <c r="Q88" s="6">
        <f>IFERROR(__xludf.DUMMYFUNCTION("IF(ISDATE(O88),O88,L88)"),45931.0)</f>
        <v>45931</v>
      </c>
      <c r="R88" s="2">
        <v>16.0</v>
      </c>
      <c r="T88" s="6">
        <v>45931.0</v>
      </c>
    </row>
    <row r="89">
      <c r="A89" s="2" t="s">
        <v>176</v>
      </c>
      <c r="B89" s="2" t="s">
        <v>113</v>
      </c>
      <c r="C89" s="2" t="s">
        <v>24</v>
      </c>
      <c r="D89" s="2" t="s">
        <v>81</v>
      </c>
      <c r="E89" s="2">
        <v>3523.0</v>
      </c>
      <c r="F89" s="3">
        <v>45738.0</v>
      </c>
      <c r="G89" s="2">
        <v>1.440101181E9</v>
      </c>
      <c r="H89" s="2" t="s">
        <v>41</v>
      </c>
      <c r="I89" s="2" t="s">
        <v>21</v>
      </c>
      <c r="J89" s="2">
        <v>37.0</v>
      </c>
      <c r="K89" s="2">
        <v>408771.0</v>
      </c>
      <c r="L89" s="4">
        <v>45717.0</v>
      </c>
      <c r="M89" s="2" t="b">
        <v>0</v>
      </c>
      <c r="Q89" s="4">
        <f>IFERROR(__xludf.DUMMYFUNCTION("IF(ISDATE(O89),O89,L89)"),45717.0)</f>
        <v>45717</v>
      </c>
      <c r="R89" s="2">
        <v>37.0</v>
      </c>
      <c r="T89" s="4">
        <v>45717.0</v>
      </c>
    </row>
    <row r="90">
      <c r="A90" s="2" t="s">
        <v>177</v>
      </c>
      <c r="B90" s="2" t="s">
        <v>178</v>
      </c>
      <c r="C90" s="2" t="s">
        <v>64</v>
      </c>
      <c r="D90" s="2" t="s">
        <v>29</v>
      </c>
      <c r="E90" s="2">
        <v>3119.0</v>
      </c>
      <c r="F90" s="3">
        <v>45029.0</v>
      </c>
      <c r="G90" s="3">
        <v>45160.0</v>
      </c>
      <c r="H90" s="2">
        <v>5.40735276E8</v>
      </c>
      <c r="I90" s="2">
        <v>5.0994844E8</v>
      </c>
      <c r="J90" s="2" t="s">
        <v>20</v>
      </c>
      <c r="K90" s="2" t="s">
        <v>42</v>
      </c>
      <c r="L90" s="2">
        <v>24.0</v>
      </c>
      <c r="M90" s="2">
        <v>131.0</v>
      </c>
      <c r="N90" s="2">
        <v>173368.0</v>
      </c>
      <c r="O90" s="4">
        <v>45017.0</v>
      </c>
      <c r="P90" s="2" t="b">
        <v>1</v>
      </c>
      <c r="Q90" s="4">
        <f>IFERROR(__xludf.DUMMYFUNCTION("IF(ISDATE(O90),O90,L90)"),45017.0)</f>
        <v>45017</v>
      </c>
      <c r="R90" s="2">
        <v>24.0</v>
      </c>
      <c r="T90" s="4">
        <v>45017.0</v>
      </c>
    </row>
    <row r="91">
      <c r="A91" s="2" t="s">
        <v>179</v>
      </c>
      <c r="B91" s="2" t="s">
        <v>137</v>
      </c>
      <c r="C91" s="2" t="s">
        <v>64</v>
      </c>
      <c r="D91" s="2" t="s">
        <v>37</v>
      </c>
      <c r="E91" s="2">
        <v>473.0</v>
      </c>
      <c r="F91" s="3">
        <v>45334.0</v>
      </c>
      <c r="G91" s="3">
        <v>45433.0</v>
      </c>
      <c r="H91" s="2">
        <v>5.57679851E8</v>
      </c>
      <c r="I91" s="2">
        <v>5.89743514E8</v>
      </c>
      <c r="J91" s="2" t="s">
        <v>20</v>
      </c>
      <c r="K91" s="2" t="s">
        <v>73</v>
      </c>
      <c r="L91" s="2">
        <v>86.0</v>
      </c>
      <c r="M91" s="2">
        <v>99.0</v>
      </c>
      <c r="N91" s="2">
        <v>1179027.0</v>
      </c>
      <c r="O91" s="4">
        <v>45323.0</v>
      </c>
      <c r="P91" s="2" t="b">
        <v>1</v>
      </c>
      <c r="Q91" s="4">
        <f>IFERROR(__xludf.DUMMYFUNCTION("IF(ISDATE(O91),O91,L91)"),45323.0)</f>
        <v>45323</v>
      </c>
      <c r="R91" s="2">
        <v>86.0</v>
      </c>
      <c r="T91" s="4">
        <v>45323.0</v>
      </c>
    </row>
    <row r="92">
      <c r="A92" s="2" t="s">
        <v>180</v>
      </c>
      <c r="B92" s="2" t="s">
        <v>121</v>
      </c>
      <c r="C92" s="2" t="s">
        <v>64</v>
      </c>
      <c r="D92" s="2" t="s">
        <v>81</v>
      </c>
      <c r="E92" s="2">
        <v>4832.0</v>
      </c>
      <c r="F92" s="3">
        <v>44997.0</v>
      </c>
      <c r="G92" s="3">
        <v>45187.0</v>
      </c>
      <c r="H92" s="2">
        <v>1.589536375E9</v>
      </c>
      <c r="I92" s="2">
        <v>1.71604463E9</v>
      </c>
      <c r="J92" s="2" t="s">
        <v>20</v>
      </c>
      <c r="K92" s="2" t="s">
        <v>21</v>
      </c>
      <c r="L92" s="2">
        <v>116.0</v>
      </c>
      <c r="M92" s="2">
        <v>190.0</v>
      </c>
      <c r="N92" s="2">
        <v>328960.0</v>
      </c>
      <c r="O92" s="4">
        <v>44986.0</v>
      </c>
      <c r="P92" s="2" t="b">
        <v>1</v>
      </c>
      <c r="Q92" s="4">
        <f>IFERROR(__xludf.DUMMYFUNCTION("IF(ISDATE(O92),O92,L92)"),44986.0)</f>
        <v>44986</v>
      </c>
      <c r="R92" s="2">
        <v>116.0</v>
      </c>
      <c r="T92" s="4">
        <v>44986.0</v>
      </c>
    </row>
    <row r="93">
      <c r="A93" s="2" t="s">
        <v>181</v>
      </c>
      <c r="B93" s="2" t="s">
        <v>71</v>
      </c>
      <c r="C93" s="2" t="s">
        <v>101</v>
      </c>
      <c r="D93" s="2" t="s">
        <v>33</v>
      </c>
      <c r="E93" s="2">
        <v>93.0</v>
      </c>
      <c r="F93" s="3">
        <v>45233.0</v>
      </c>
      <c r="G93" s="2">
        <v>2.4601519E7</v>
      </c>
      <c r="H93" s="2" t="s">
        <v>41</v>
      </c>
      <c r="I93" s="2" t="s">
        <v>21</v>
      </c>
      <c r="J93" s="2">
        <v>80.0</v>
      </c>
      <c r="K93" s="2">
        <v>264532.0</v>
      </c>
      <c r="L93" s="6">
        <v>45231.0</v>
      </c>
      <c r="M93" s="2" t="b">
        <v>0</v>
      </c>
      <c r="Q93" s="6">
        <f>IFERROR(__xludf.DUMMYFUNCTION("IF(ISDATE(O93),O93,L93)"),45231.0)</f>
        <v>45231</v>
      </c>
      <c r="R93" s="2">
        <v>80.0</v>
      </c>
      <c r="T93" s="6">
        <v>45231.0</v>
      </c>
    </row>
    <row r="94">
      <c r="A94" s="2" t="s">
        <v>182</v>
      </c>
      <c r="B94" s="2" t="s">
        <v>183</v>
      </c>
      <c r="C94" s="2" t="s">
        <v>24</v>
      </c>
      <c r="D94" s="2" t="s">
        <v>49</v>
      </c>
      <c r="E94" s="2">
        <v>87.0</v>
      </c>
      <c r="F94" s="3">
        <v>45348.0</v>
      </c>
      <c r="G94" s="3">
        <v>45409.0</v>
      </c>
      <c r="H94" s="2">
        <v>7.2677542E7</v>
      </c>
      <c r="I94" s="2">
        <v>6.7781614E7</v>
      </c>
      <c r="J94" s="2" t="s">
        <v>20</v>
      </c>
      <c r="K94" s="2" t="s">
        <v>73</v>
      </c>
      <c r="L94" s="2">
        <v>163.0</v>
      </c>
      <c r="M94" s="2">
        <v>61.0</v>
      </c>
      <c r="N94" s="2">
        <v>835374.0</v>
      </c>
      <c r="O94" s="4">
        <v>45323.0</v>
      </c>
      <c r="P94" s="2" t="b">
        <v>1</v>
      </c>
      <c r="Q94" s="4">
        <f>IFERROR(__xludf.DUMMYFUNCTION("IF(ISDATE(O94),O94,L94)"),45323.0)</f>
        <v>45323</v>
      </c>
      <c r="R94" s="2">
        <v>163.0</v>
      </c>
      <c r="T94" s="4">
        <v>45323.0</v>
      </c>
    </row>
    <row r="95">
      <c r="A95" s="2" t="s">
        <v>184</v>
      </c>
      <c r="B95" s="2" t="s">
        <v>132</v>
      </c>
      <c r="C95" s="2" t="s">
        <v>18</v>
      </c>
      <c r="D95" s="2" t="s">
        <v>81</v>
      </c>
      <c r="E95" s="2">
        <v>1572.0</v>
      </c>
      <c r="F95" s="3">
        <v>45580.0</v>
      </c>
      <c r="G95" s="3">
        <v>45660.0</v>
      </c>
      <c r="H95" s="2">
        <v>2.94925586E8</v>
      </c>
      <c r="I95" s="2">
        <v>3.13749319E8</v>
      </c>
      <c r="J95" s="2" t="s">
        <v>20</v>
      </c>
      <c r="K95" s="2" t="s">
        <v>73</v>
      </c>
      <c r="L95" s="2">
        <v>78.0</v>
      </c>
      <c r="M95" s="2">
        <v>80.0</v>
      </c>
      <c r="N95" s="2">
        <v>187612.0</v>
      </c>
      <c r="O95" s="6">
        <v>45566.0</v>
      </c>
      <c r="P95" s="2" t="b">
        <v>1</v>
      </c>
      <c r="Q95" s="6">
        <f>IFERROR(__xludf.DUMMYFUNCTION("IF(ISDATE(O95),O95,L95)"),45566.0)</f>
        <v>45566</v>
      </c>
      <c r="R95" s="2">
        <v>78.0</v>
      </c>
      <c r="T95" s="6">
        <v>45566.0</v>
      </c>
    </row>
    <row r="96">
      <c r="A96" s="2" t="s">
        <v>185</v>
      </c>
      <c r="B96" s="2" t="s">
        <v>95</v>
      </c>
      <c r="C96" s="2" t="s">
        <v>18</v>
      </c>
      <c r="D96" s="2" t="s">
        <v>102</v>
      </c>
      <c r="E96" s="2">
        <v>109.0</v>
      </c>
      <c r="F96" s="3">
        <v>45938.0</v>
      </c>
      <c r="G96" s="3">
        <v>46116.0</v>
      </c>
      <c r="H96" s="2">
        <v>4.7108063E7</v>
      </c>
      <c r="I96" s="2">
        <v>4.8542511E7</v>
      </c>
      <c r="J96" s="2" t="s">
        <v>20</v>
      </c>
      <c r="K96" s="2" t="s">
        <v>73</v>
      </c>
      <c r="L96" s="2">
        <v>82.0</v>
      </c>
      <c r="M96" s="2">
        <v>178.0</v>
      </c>
      <c r="N96" s="2">
        <v>432184.0</v>
      </c>
      <c r="O96" s="6">
        <v>45931.0</v>
      </c>
      <c r="P96" s="2" t="b">
        <v>1</v>
      </c>
      <c r="Q96" s="6">
        <f>IFERROR(__xludf.DUMMYFUNCTION("IF(ISDATE(O96),O96,L96)"),45931.0)</f>
        <v>45931</v>
      </c>
      <c r="R96" s="2">
        <v>82.0</v>
      </c>
      <c r="T96" s="6">
        <v>45931.0</v>
      </c>
    </row>
    <row r="97">
      <c r="A97" s="2" t="s">
        <v>186</v>
      </c>
      <c r="B97" s="2" t="s">
        <v>129</v>
      </c>
      <c r="C97" s="2" t="s">
        <v>28</v>
      </c>
      <c r="D97" s="2" t="s">
        <v>49</v>
      </c>
      <c r="E97" s="2">
        <v>268.0</v>
      </c>
      <c r="F97" s="3">
        <v>45169.0</v>
      </c>
      <c r="G97" s="3">
        <v>45275.0</v>
      </c>
      <c r="H97" s="2">
        <v>3.44409608E8</v>
      </c>
      <c r="I97" s="2">
        <v>3.71559667E8</v>
      </c>
      <c r="J97" s="2" t="s">
        <v>20</v>
      </c>
      <c r="K97" s="2" t="s">
        <v>30</v>
      </c>
      <c r="L97" s="2">
        <v>10.0</v>
      </c>
      <c r="M97" s="2">
        <v>106.0</v>
      </c>
      <c r="N97" s="2">
        <v>1285110.0</v>
      </c>
      <c r="O97" s="4">
        <v>45139.0</v>
      </c>
      <c r="P97" s="2" t="b">
        <v>1</v>
      </c>
      <c r="Q97" s="4">
        <f>IFERROR(__xludf.DUMMYFUNCTION("IF(ISDATE(O97),O97,L97)"),45139.0)</f>
        <v>45139</v>
      </c>
      <c r="R97" s="2">
        <v>10.0</v>
      </c>
      <c r="T97" s="4">
        <v>45139.0</v>
      </c>
    </row>
    <row r="98">
      <c r="A98" s="2" t="s">
        <v>187</v>
      </c>
      <c r="B98" s="2" t="s">
        <v>121</v>
      </c>
      <c r="C98" s="2" t="s">
        <v>101</v>
      </c>
      <c r="D98" s="2" t="s">
        <v>49</v>
      </c>
      <c r="E98" s="2">
        <v>120.0</v>
      </c>
      <c r="F98" s="3">
        <v>45812.0</v>
      </c>
      <c r="G98" s="2">
        <v>5.6221049E7</v>
      </c>
      <c r="H98" s="2" t="s">
        <v>34</v>
      </c>
      <c r="I98" s="2" t="s">
        <v>25</v>
      </c>
      <c r="J98" s="2">
        <v>132.0</v>
      </c>
      <c r="K98" s="2">
        <v>468509.0</v>
      </c>
      <c r="L98" s="4">
        <v>45809.0</v>
      </c>
      <c r="M98" s="2" t="b">
        <v>0</v>
      </c>
      <c r="Q98" s="4">
        <f>IFERROR(__xludf.DUMMYFUNCTION("IF(ISDATE(O98),O98,L98)"),45809.0)</f>
        <v>45809</v>
      </c>
      <c r="R98" s="2">
        <v>132.0</v>
      </c>
      <c r="T98" s="4">
        <v>45809.0</v>
      </c>
    </row>
    <row r="99">
      <c r="A99" s="2" t="s">
        <v>188</v>
      </c>
      <c r="B99" s="2" t="s">
        <v>36</v>
      </c>
      <c r="C99" s="2" t="s">
        <v>40</v>
      </c>
      <c r="D99" s="2" t="s">
        <v>37</v>
      </c>
      <c r="E99" s="2">
        <v>417.0</v>
      </c>
      <c r="F99" s="3">
        <v>45151.0</v>
      </c>
      <c r="G99" s="3">
        <v>45324.0</v>
      </c>
      <c r="H99" s="2">
        <v>2.17940002E8</v>
      </c>
      <c r="I99" s="2">
        <v>2.26852085E8</v>
      </c>
      <c r="J99" s="2" t="s">
        <v>20</v>
      </c>
      <c r="K99" s="2" t="s">
        <v>42</v>
      </c>
      <c r="L99" s="2">
        <v>165.0</v>
      </c>
      <c r="M99" s="2">
        <v>173.0</v>
      </c>
      <c r="N99" s="2">
        <v>522638.0</v>
      </c>
      <c r="O99" s="4">
        <v>45139.0</v>
      </c>
      <c r="P99" s="2" t="b">
        <v>1</v>
      </c>
      <c r="Q99" s="4">
        <f>IFERROR(__xludf.DUMMYFUNCTION("IF(ISDATE(O99),O99,L99)"),45139.0)</f>
        <v>45139</v>
      </c>
      <c r="R99" s="2">
        <v>165.0</v>
      </c>
      <c r="T99" s="4">
        <v>45139.0</v>
      </c>
    </row>
    <row r="100">
      <c r="A100" s="2" t="s">
        <v>189</v>
      </c>
      <c r="B100" s="2" t="s">
        <v>129</v>
      </c>
      <c r="C100" s="2" t="s">
        <v>28</v>
      </c>
      <c r="D100" s="2" t="s">
        <v>19</v>
      </c>
      <c r="E100" s="2">
        <v>49.0</v>
      </c>
      <c r="F100" s="3">
        <v>45520.0</v>
      </c>
      <c r="G100" s="3">
        <v>45568.0</v>
      </c>
      <c r="H100" s="2">
        <v>3.1368503E7</v>
      </c>
      <c r="I100" s="2">
        <v>3.034017E7</v>
      </c>
      <c r="J100" s="2" t="s">
        <v>20</v>
      </c>
      <c r="K100" s="2" t="s">
        <v>73</v>
      </c>
      <c r="L100" s="2">
        <v>49.0</v>
      </c>
      <c r="M100" s="2">
        <v>48.0</v>
      </c>
      <c r="N100" s="2">
        <v>640174.0</v>
      </c>
      <c r="O100" s="4">
        <v>45505.0</v>
      </c>
      <c r="P100" s="2" t="b">
        <v>1</v>
      </c>
      <c r="Q100" s="4">
        <f>IFERROR(__xludf.DUMMYFUNCTION("IF(ISDATE(O100),O100,L100)"),45505.0)</f>
        <v>45505</v>
      </c>
      <c r="R100" s="2">
        <v>49.0</v>
      </c>
      <c r="T100" s="4">
        <v>45505.0</v>
      </c>
    </row>
    <row r="101">
      <c r="A101" s="2" t="s">
        <v>190</v>
      </c>
      <c r="B101" s="2" t="s">
        <v>32</v>
      </c>
      <c r="C101" s="2" t="s">
        <v>28</v>
      </c>
      <c r="D101" s="2" t="s">
        <v>58</v>
      </c>
      <c r="E101" s="2">
        <v>274.0</v>
      </c>
      <c r="F101" s="3">
        <v>45440.0</v>
      </c>
      <c r="G101" s="2">
        <v>2.44094766E8</v>
      </c>
      <c r="H101" s="2" t="s">
        <v>41</v>
      </c>
      <c r="I101" s="2" t="s">
        <v>73</v>
      </c>
      <c r="J101" s="2">
        <v>80.0</v>
      </c>
      <c r="K101" s="2">
        <v>890857.0</v>
      </c>
      <c r="L101" s="4">
        <v>45413.0</v>
      </c>
      <c r="M101" s="2" t="b">
        <v>0</v>
      </c>
      <c r="Q101" s="4">
        <f>IFERROR(__xludf.DUMMYFUNCTION("IF(ISDATE(O101),O101,L101)"),45413.0)</f>
        <v>45413</v>
      </c>
      <c r="R101" s="2">
        <v>80.0</v>
      </c>
      <c r="T101" s="4">
        <v>45413.0</v>
      </c>
    </row>
    <row r="102">
      <c r="A102" s="2" t="s">
        <v>191</v>
      </c>
      <c r="B102" s="2" t="s">
        <v>129</v>
      </c>
      <c r="C102" s="2" t="s">
        <v>57</v>
      </c>
      <c r="D102" s="2" t="s">
        <v>67</v>
      </c>
      <c r="E102" s="2">
        <v>28.0</v>
      </c>
      <c r="F102" s="3">
        <v>45071.0</v>
      </c>
      <c r="G102" s="2">
        <v>7489120.0</v>
      </c>
      <c r="H102" s="2" t="s">
        <v>41</v>
      </c>
      <c r="I102" s="2" t="s">
        <v>73</v>
      </c>
      <c r="J102" s="2">
        <v>147.0</v>
      </c>
      <c r="K102" s="2">
        <v>267469.0</v>
      </c>
      <c r="L102" s="4">
        <v>45047.0</v>
      </c>
      <c r="M102" s="2" t="b">
        <v>0</v>
      </c>
      <c r="Q102" s="4">
        <f>IFERROR(__xludf.DUMMYFUNCTION("IF(ISDATE(O102),O102,L102)"),45047.0)</f>
        <v>45047</v>
      </c>
      <c r="R102" s="2">
        <v>147.0</v>
      </c>
      <c r="T102" s="4">
        <v>45047.0</v>
      </c>
    </row>
    <row r="103">
      <c r="A103" s="2" t="s">
        <v>192</v>
      </c>
      <c r="B103" s="2" t="s">
        <v>63</v>
      </c>
      <c r="C103" s="2" t="s">
        <v>24</v>
      </c>
      <c r="D103" s="2" t="s">
        <v>49</v>
      </c>
      <c r="E103" s="2">
        <v>53.0</v>
      </c>
      <c r="F103" s="3">
        <v>45053.0</v>
      </c>
      <c r="G103" s="3">
        <v>45240.0</v>
      </c>
      <c r="H103" s="2">
        <v>5.5445431E7</v>
      </c>
      <c r="I103" s="2">
        <v>5.33355E7</v>
      </c>
      <c r="J103" s="2" t="s">
        <v>20</v>
      </c>
      <c r="K103" s="2" t="s">
        <v>73</v>
      </c>
      <c r="L103" s="2">
        <v>168.0</v>
      </c>
      <c r="M103" s="2">
        <v>187.0</v>
      </c>
      <c r="N103" s="2">
        <v>1046140.0</v>
      </c>
      <c r="O103" s="4">
        <v>45047.0</v>
      </c>
      <c r="P103" s="2" t="b">
        <v>1</v>
      </c>
      <c r="Q103" s="4">
        <f>IFERROR(__xludf.DUMMYFUNCTION("IF(ISDATE(O103),O103,L103)"),45047.0)</f>
        <v>45047</v>
      </c>
      <c r="R103" s="2">
        <v>168.0</v>
      </c>
      <c r="T103" s="4">
        <v>45047.0</v>
      </c>
    </row>
    <row r="104">
      <c r="A104" s="2" t="s">
        <v>193</v>
      </c>
      <c r="B104" s="2" t="s">
        <v>132</v>
      </c>
      <c r="C104" s="2" t="s">
        <v>93</v>
      </c>
      <c r="D104" s="2" t="s">
        <v>33</v>
      </c>
      <c r="E104" s="2">
        <v>108.0</v>
      </c>
      <c r="F104" s="3">
        <v>44952.0</v>
      </c>
      <c r="G104" s="3">
        <v>45110.0</v>
      </c>
      <c r="H104" s="2">
        <v>3.1790961E7</v>
      </c>
      <c r="I104" s="2">
        <v>3.23509E7</v>
      </c>
      <c r="J104" s="2" t="s">
        <v>20</v>
      </c>
      <c r="K104" s="2" t="s">
        <v>21</v>
      </c>
      <c r="L104" s="2">
        <v>167.0</v>
      </c>
      <c r="M104" s="2">
        <v>158.0</v>
      </c>
      <c r="N104" s="2">
        <v>294361.0</v>
      </c>
      <c r="O104" s="4">
        <v>44927.0</v>
      </c>
      <c r="P104" s="2" t="b">
        <v>1</v>
      </c>
      <c r="Q104" s="4">
        <f>IFERROR(__xludf.DUMMYFUNCTION("IF(ISDATE(O104),O104,L104)"),44927.0)</f>
        <v>44927</v>
      </c>
      <c r="R104" s="2">
        <v>167.0</v>
      </c>
      <c r="T104" s="4">
        <v>44927.0</v>
      </c>
    </row>
    <row r="105">
      <c r="A105" s="2" t="s">
        <v>194</v>
      </c>
      <c r="B105" s="2" t="s">
        <v>80</v>
      </c>
      <c r="C105" s="2" t="s">
        <v>57</v>
      </c>
      <c r="D105" s="2" t="s">
        <v>37</v>
      </c>
      <c r="E105" s="2">
        <v>632.0</v>
      </c>
      <c r="F105" s="3">
        <v>45070.0</v>
      </c>
      <c r="G105" s="3">
        <v>45094.0</v>
      </c>
      <c r="H105" s="2">
        <v>4.3235693E8</v>
      </c>
      <c r="I105" s="2">
        <v>4.31846722E8</v>
      </c>
      <c r="J105" s="2" t="s">
        <v>20</v>
      </c>
      <c r="K105" s="2" t="s">
        <v>21</v>
      </c>
      <c r="L105" s="2">
        <v>65.0</v>
      </c>
      <c r="M105" s="2">
        <v>24.0</v>
      </c>
      <c r="N105" s="2">
        <v>684109.0</v>
      </c>
      <c r="O105" s="4">
        <v>45047.0</v>
      </c>
      <c r="P105" s="2" t="b">
        <v>1</v>
      </c>
      <c r="Q105" s="4">
        <f>IFERROR(__xludf.DUMMYFUNCTION("IF(ISDATE(O105),O105,L105)"),45047.0)</f>
        <v>45047</v>
      </c>
      <c r="R105" s="2">
        <v>65.0</v>
      </c>
      <c r="T105" s="4">
        <v>45047.0</v>
      </c>
    </row>
    <row r="106">
      <c r="A106" s="2" t="s">
        <v>195</v>
      </c>
      <c r="B106" s="2" t="s">
        <v>95</v>
      </c>
      <c r="C106" s="2" t="s">
        <v>40</v>
      </c>
      <c r="D106" s="2" t="s">
        <v>102</v>
      </c>
      <c r="E106" s="2">
        <v>149.0</v>
      </c>
      <c r="F106" s="3">
        <v>45613.0</v>
      </c>
      <c r="G106" s="2">
        <v>5.7196892E7</v>
      </c>
      <c r="H106" s="2" t="s">
        <v>34</v>
      </c>
      <c r="I106" s="2" t="s">
        <v>73</v>
      </c>
      <c r="J106" s="2">
        <v>155.0</v>
      </c>
      <c r="K106" s="2">
        <v>383872.0</v>
      </c>
      <c r="L106" s="6">
        <v>45597.0</v>
      </c>
      <c r="M106" s="2" t="b">
        <v>0</v>
      </c>
      <c r="Q106" s="6">
        <f>IFERROR(__xludf.DUMMYFUNCTION("IF(ISDATE(O106),O106,L106)"),45597.0)</f>
        <v>45597</v>
      </c>
      <c r="R106" s="2">
        <v>155.0</v>
      </c>
      <c r="T106" s="6">
        <v>45597.0</v>
      </c>
    </row>
    <row r="107">
      <c r="A107" s="2" t="s">
        <v>196</v>
      </c>
      <c r="B107" s="2" t="s">
        <v>178</v>
      </c>
      <c r="C107" s="2" t="s">
        <v>57</v>
      </c>
      <c r="D107" s="2" t="s">
        <v>102</v>
      </c>
      <c r="E107" s="2">
        <v>153.0</v>
      </c>
      <c r="F107" s="3">
        <v>45557.0</v>
      </c>
      <c r="G107" s="3">
        <v>45643.0</v>
      </c>
      <c r="H107" s="2">
        <v>5.2820894E7</v>
      </c>
      <c r="I107" s="2">
        <v>5.1726698E7</v>
      </c>
      <c r="J107" s="2" t="s">
        <v>20</v>
      </c>
      <c r="K107" s="2" t="s">
        <v>73</v>
      </c>
      <c r="L107" s="2">
        <v>118.0</v>
      </c>
      <c r="M107" s="2">
        <v>86.0</v>
      </c>
      <c r="N107" s="2">
        <v>345235.0</v>
      </c>
      <c r="O107" s="4">
        <v>45536.0</v>
      </c>
      <c r="P107" s="2" t="b">
        <v>1</v>
      </c>
      <c r="Q107" s="4">
        <f>IFERROR(__xludf.DUMMYFUNCTION("IF(ISDATE(O107),O107,L107)"),45536.0)</f>
        <v>45536</v>
      </c>
      <c r="R107" s="2">
        <v>118.0</v>
      </c>
      <c r="T107" s="4">
        <v>45536.0</v>
      </c>
    </row>
    <row r="108">
      <c r="A108" s="2" t="s">
        <v>197</v>
      </c>
      <c r="B108" s="2" t="s">
        <v>32</v>
      </c>
      <c r="C108" s="2" t="s">
        <v>101</v>
      </c>
      <c r="D108" s="2" t="s">
        <v>67</v>
      </c>
      <c r="E108" s="2">
        <v>28.0</v>
      </c>
      <c r="F108" s="3">
        <v>45850.0</v>
      </c>
      <c r="G108" s="2">
        <v>4626372.0</v>
      </c>
      <c r="H108" s="2" t="s">
        <v>69</v>
      </c>
      <c r="I108" s="2" t="s">
        <v>30</v>
      </c>
      <c r="J108" s="2">
        <v>53.0</v>
      </c>
      <c r="K108" s="2">
        <v>165228.0</v>
      </c>
      <c r="L108" s="4">
        <v>45839.0</v>
      </c>
      <c r="M108" s="2" t="b">
        <v>0</v>
      </c>
      <c r="Q108" s="4">
        <f>IFERROR(__xludf.DUMMYFUNCTION("IF(ISDATE(O108),O108,L108)"),45839.0)</f>
        <v>45839</v>
      </c>
      <c r="R108" s="2">
        <v>53.0</v>
      </c>
      <c r="T108" s="4">
        <v>45839.0</v>
      </c>
    </row>
    <row r="109">
      <c r="A109" s="2" t="s">
        <v>198</v>
      </c>
      <c r="B109" s="2" t="s">
        <v>163</v>
      </c>
      <c r="C109" s="2" t="s">
        <v>101</v>
      </c>
      <c r="D109" s="2" t="s">
        <v>81</v>
      </c>
      <c r="E109" s="2">
        <v>1150.0</v>
      </c>
      <c r="F109" s="3">
        <v>45581.0</v>
      </c>
      <c r="G109" s="3">
        <v>45601.0</v>
      </c>
      <c r="H109" s="2">
        <v>1.6212411E8</v>
      </c>
      <c r="I109" s="2">
        <v>1.57805361E8</v>
      </c>
      <c r="J109" s="2" t="s">
        <v>20</v>
      </c>
      <c r="K109" s="2" t="s">
        <v>42</v>
      </c>
      <c r="L109" s="2">
        <v>149.0</v>
      </c>
      <c r="M109" s="2">
        <v>20.0</v>
      </c>
      <c r="N109" s="2">
        <v>140977.0</v>
      </c>
      <c r="O109" s="6">
        <v>45566.0</v>
      </c>
      <c r="P109" s="2" t="b">
        <v>1</v>
      </c>
      <c r="Q109" s="6">
        <f>IFERROR(__xludf.DUMMYFUNCTION("IF(ISDATE(O109),O109,L109)"),45566.0)</f>
        <v>45566</v>
      </c>
      <c r="R109" s="2">
        <v>149.0</v>
      </c>
      <c r="T109" s="6">
        <v>45566.0</v>
      </c>
    </row>
    <row r="110">
      <c r="A110" s="2" t="s">
        <v>199</v>
      </c>
      <c r="B110" s="2" t="s">
        <v>135</v>
      </c>
      <c r="C110" s="2" t="s">
        <v>28</v>
      </c>
      <c r="D110" s="2" t="s">
        <v>58</v>
      </c>
      <c r="E110" s="2">
        <v>103.0</v>
      </c>
      <c r="F110" s="3">
        <v>45759.0</v>
      </c>
      <c r="G110" s="2">
        <v>1.11689476E8</v>
      </c>
      <c r="H110" s="2" t="s">
        <v>69</v>
      </c>
      <c r="I110" s="2" t="s">
        <v>25</v>
      </c>
      <c r="J110" s="2">
        <v>5.0</v>
      </c>
      <c r="K110" s="2">
        <v>1084364.0</v>
      </c>
      <c r="L110" s="4">
        <v>45748.0</v>
      </c>
      <c r="M110" s="2" t="b">
        <v>0</v>
      </c>
      <c r="Q110" s="4">
        <f>IFERROR(__xludf.DUMMYFUNCTION("IF(ISDATE(O110),O110,L110)"),45748.0)</f>
        <v>45748</v>
      </c>
      <c r="R110" s="2">
        <v>5.0</v>
      </c>
      <c r="T110" s="4">
        <v>45748.0</v>
      </c>
    </row>
    <row r="111">
      <c r="A111" s="2" t="s">
        <v>200</v>
      </c>
      <c r="B111" s="2" t="s">
        <v>201</v>
      </c>
      <c r="C111" s="2" t="s">
        <v>24</v>
      </c>
      <c r="D111" s="2" t="s">
        <v>102</v>
      </c>
      <c r="E111" s="2">
        <v>116.0</v>
      </c>
      <c r="F111" s="3">
        <v>45744.0</v>
      </c>
      <c r="G111" s="3">
        <v>45928.0</v>
      </c>
      <c r="H111" s="2">
        <v>1.12777585E8</v>
      </c>
      <c r="I111" s="2">
        <v>1.0613369E8</v>
      </c>
      <c r="J111" s="2" t="s">
        <v>20</v>
      </c>
      <c r="K111" s="2" t="s">
        <v>30</v>
      </c>
      <c r="L111" s="2">
        <v>65.0</v>
      </c>
      <c r="M111" s="2">
        <v>184.0</v>
      </c>
      <c r="N111" s="2">
        <v>972221.0</v>
      </c>
      <c r="O111" s="4">
        <v>45717.0</v>
      </c>
      <c r="P111" s="2" t="b">
        <v>1</v>
      </c>
      <c r="Q111" s="4">
        <f>IFERROR(__xludf.DUMMYFUNCTION("IF(ISDATE(O111),O111,L111)"),45717.0)</f>
        <v>45717</v>
      </c>
      <c r="R111" s="2">
        <v>65.0</v>
      </c>
      <c r="T111" s="4">
        <v>45717.0</v>
      </c>
    </row>
    <row r="112">
      <c r="A112" s="2" t="s">
        <v>202</v>
      </c>
      <c r="B112" s="2" t="s">
        <v>92</v>
      </c>
      <c r="C112" s="2" t="s">
        <v>64</v>
      </c>
      <c r="D112" s="2" t="s">
        <v>19</v>
      </c>
      <c r="E112" s="2">
        <v>45.0</v>
      </c>
      <c r="F112" s="3">
        <v>45056.0</v>
      </c>
      <c r="G112" s="2">
        <v>1.54131E7</v>
      </c>
      <c r="H112" s="2" t="s">
        <v>34</v>
      </c>
      <c r="I112" s="2" t="s">
        <v>21</v>
      </c>
      <c r="J112" s="2">
        <v>126.0</v>
      </c>
      <c r="K112" s="2">
        <v>342513.0</v>
      </c>
      <c r="L112" s="4">
        <v>45047.0</v>
      </c>
      <c r="M112" s="2" t="b">
        <v>0</v>
      </c>
      <c r="Q112" s="4">
        <f>IFERROR(__xludf.DUMMYFUNCTION("IF(ISDATE(O112),O112,L112)"),45047.0)</f>
        <v>45047</v>
      </c>
      <c r="R112" s="2">
        <v>126.0</v>
      </c>
      <c r="T112" s="4">
        <v>45047.0</v>
      </c>
    </row>
    <row r="113">
      <c r="A113" s="2" t="s">
        <v>203</v>
      </c>
      <c r="B113" s="2" t="s">
        <v>204</v>
      </c>
      <c r="C113" s="2" t="s">
        <v>24</v>
      </c>
      <c r="D113" s="2" t="s">
        <v>67</v>
      </c>
      <c r="E113" s="2">
        <v>41.0</v>
      </c>
      <c r="F113" s="3">
        <v>45389.0</v>
      </c>
      <c r="G113" s="3">
        <v>45561.0</v>
      </c>
      <c r="H113" s="2">
        <v>1.6180339E7</v>
      </c>
      <c r="I113" s="2">
        <v>1.6913572E7</v>
      </c>
      <c r="J113" s="2" t="s">
        <v>20</v>
      </c>
      <c r="K113" s="2" t="s">
        <v>25</v>
      </c>
      <c r="L113" s="2">
        <v>82.0</v>
      </c>
      <c r="M113" s="2">
        <v>172.0</v>
      </c>
      <c r="N113" s="2">
        <v>394642.0</v>
      </c>
      <c r="O113" s="4">
        <v>45383.0</v>
      </c>
      <c r="P113" s="2" t="b">
        <v>1</v>
      </c>
      <c r="Q113" s="4">
        <f>IFERROR(__xludf.DUMMYFUNCTION("IF(ISDATE(O113),O113,L113)"),45383.0)</f>
        <v>45383</v>
      </c>
      <c r="R113" s="2">
        <v>82.0</v>
      </c>
      <c r="T113" s="4">
        <v>45383.0</v>
      </c>
    </row>
    <row r="114">
      <c r="A114" s="2" t="s">
        <v>205</v>
      </c>
      <c r="B114" s="2" t="s">
        <v>153</v>
      </c>
      <c r="C114" s="2" t="s">
        <v>64</v>
      </c>
      <c r="D114" s="2" t="s">
        <v>19</v>
      </c>
      <c r="E114" s="2">
        <v>41.0</v>
      </c>
      <c r="F114" s="3">
        <v>45363.0</v>
      </c>
      <c r="G114" s="2">
        <v>1.7799018E7</v>
      </c>
      <c r="H114" s="2" t="s">
        <v>69</v>
      </c>
      <c r="I114" s="2" t="s">
        <v>73</v>
      </c>
      <c r="J114" s="2">
        <v>23.0</v>
      </c>
      <c r="K114" s="2">
        <v>434122.0</v>
      </c>
      <c r="L114" s="4">
        <v>45352.0</v>
      </c>
      <c r="M114" s="2" t="b">
        <v>0</v>
      </c>
      <c r="Q114" s="4">
        <f>IFERROR(__xludf.DUMMYFUNCTION("IF(ISDATE(O114),O114,L114)"),45352.0)</f>
        <v>45352</v>
      </c>
      <c r="R114" s="2">
        <v>23.0</v>
      </c>
      <c r="T114" s="4">
        <v>45352.0</v>
      </c>
    </row>
    <row r="115">
      <c r="A115" s="2" t="s">
        <v>206</v>
      </c>
      <c r="B115" s="2" t="s">
        <v>173</v>
      </c>
      <c r="C115" s="2" t="s">
        <v>40</v>
      </c>
      <c r="D115" s="2" t="s">
        <v>67</v>
      </c>
      <c r="E115" s="2">
        <v>44.0</v>
      </c>
      <c r="F115" s="3">
        <v>45056.0</v>
      </c>
      <c r="G115" s="3">
        <v>45233.0</v>
      </c>
      <c r="H115" s="2">
        <v>8347923.0</v>
      </c>
      <c r="I115" s="2">
        <v>8631288.0</v>
      </c>
      <c r="J115" s="2" t="s">
        <v>20</v>
      </c>
      <c r="K115" s="2" t="s">
        <v>73</v>
      </c>
      <c r="L115" s="2">
        <v>157.0</v>
      </c>
      <c r="M115" s="2">
        <v>177.0</v>
      </c>
      <c r="N115" s="2">
        <v>189726.0</v>
      </c>
      <c r="O115" s="4">
        <v>45047.0</v>
      </c>
      <c r="P115" s="2" t="b">
        <v>1</v>
      </c>
      <c r="Q115" s="4">
        <f>IFERROR(__xludf.DUMMYFUNCTION("IF(ISDATE(O115),O115,L115)"),45047.0)</f>
        <v>45047</v>
      </c>
      <c r="R115" s="2">
        <v>157.0</v>
      </c>
      <c r="T115" s="4">
        <v>45047.0</v>
      </c>
    </row>
    <row r="116">
      <c r="A116" s="2" t="s">
        <v>207</v>
      </c>
      <c r="B116" s="2" t="s">
        <v>208</v>
      </c>
      <c r="C116" s="2" t="s">
        <v>64</v>
      </c>
      <c r="D116" s="2" t="s">
        <v>81</v>
      </c>
      <c r="E116" s="2">
        <v>4541.0</v>
      </c>
      <c r="F116" s="3">
        <v>45028.0</v>
      </c>
      <c r="G116" s="2">
        <v>1.460392936E9</v>
      </c>
      <c r="H116" s="2" t="s">
        <v>41</v>
      </c>
      <c r="I116" s="2" t="s">
        <v>25</v>
      </c>
      <c r="J116" s="2">
        <v>60.0</v>
      </c>
      <c r="K116" s="2">
        <v>321602.0</v>
      </c>
      <c r="L116" s="4">
        <v>45017.0</v>
      </c>
      <c r="M116" s="2" t="b">
        <v>0</v>
      </c>
      <c r="Q116" s="4">
        <f>IFERROR(__xludf.DUMMYFUNCTION("IF(ISDATE(O116),O116,L116)"),45017.0)</f>
        <v>45017</v>
      </c>
      <c r="R116" s="2">
        <v>60.0</v>
      </c>
      <c r="T116" s="4">
        <v>45017.0</v>
      </c>
    </row>
    <row r="117">
      <c r="A117" s="2" t="s">
        <v>209</v>
      </c>
      <c r="B117" s="2" t="s">
        <v>123</v>
      </c>
      <c r="C117" s="2" t="s">
        <v>24</v>
      </c>
      <c r="D117" s="2" t="s">
        <v>72</v>
      </c>
      <c r="E117" s="2">
        <v>285.0</v>
      </c>
      <c r="F117" s="3">
        <v>45335.0</v>
      </c>
      <c r="G117" s="3">
        <v>45374.0</v>
      </c>
      <c r="H117" s="2">
        <v>3.25120198E8</v>
      </c>
      <c r="I117" s="2">
        <v>3.15367818E8</v>
      </c>
      <c r="J117" s="2" t="s">
        <v>20</v>
      </c>
      <c r="K117" s="2" t="s">
        <v>30</v>
      </c>
      <c r="L117" s="2">
        <v>100.0</v>
      </c>
      <c r="M117" s="2">
        <v>39.0</v>
      </c>
      <c r="N117" s="2">
        <v>1140773.0</v>
      </c>
      <c r="O117" s="4">
        <v>45323.0</v>
      </c>
      <c r="P117" s="2" t="b">
        <v>1</v>
      </c>
      <c r="Q117" s="4">
        <f>IFERROR(__xludf.DUMMYFUNCTION("IF(ISDATE(O117),O117,L117)"),45323.0)</f>
        <v>45323</v>
      </c>
      <c r="R117" s="2">
        <v>100.0</v>
      </c>
      <c r="T117" s="4">
        <v>45323.0</v>
      </c>
    </row>
    <row r="118">
      <c r="A118" s="2" t="s">
        <v>210</v>
      </c>
      <c r="B118" s="2" t="s">
        <v>211</v>
      </c>
      <c r="C118" s="2" t="s">
        <v>101</v>
      </c>
      <c r="D118" s="2" t="s">
        <v>81</v>
      </c>
      <c r="E118" s="2">
        <v>949.0</v>
      </c>
      <c r="F118" s="3">
        <v>45022.0</v>
      </c>
      <c r="G118" s="3">
        <v>45227.0</v>
      </c>
      <c r="H118" s="2">
        <v>1.76109707E8</v>
      </c>
      <c r="I118" s="2">
        <v>1.84894602E8</v>
      </c>
      <c r="J118" s="2" t="s">
        <v>20</v>
      </c>
      <c r="K118" s="2" t="s">
        <v>25</v>
      </c>
      <c r="L118" s="2">
        <v>20.0</v>
      </c>
      <c r="M118" s="2">
        <v>205.0</v>
      </c>
      <c r="N118" s="2">
        <v>185574.0</v>
      </c>
      <c r="O118" s="4">
        <v>45017.0</v>
      </c>
      <c r="P118" s="2" t="b">
        <v>1</v>
      </c>
      <c r="Q118" s="4">
        <f>IFERROR(__xludf.DUMMYFUNCTION("IF(ISDATE(O118),O118,L118)"),45017.0)</f>
        <v>45017</v>
      </c>
      <c r="R118" s="2">
        <v>20.0</v>
      </c>
      <c r="T118" s="4">
        <v>45017.0</v>
      </c>
    </row>
    <row r="119">
      <c r="A119" s="2" t="s">
        <v>212</v>
      </c>
      <c r="B119" s="2" t="s">
        <v>142</v>
      </c>
      <c r="C119" s="2" t="s">
        <v>64</v>
      </c>
      <c r="D119" s="2" t="s">
        <v>58</v>
      </c>
      <c r="E119" s="2">
        <v>193.0</v>
      </c>
      <c r="F119" s="3">
        <v>45052.0</v>
      </c>
      <c r="G119" s="3">
        <v>45237.0</v>
      </c>
      <c r="H119" s="2">
        <v>1.17169086E8</v>
      </c>
      <c r="I119" s="2">
        <v>1.15724379E8</v>
      </c>
      <c r="J119" s="2" t="s">
        <v>20</v>
      </c>
      <c r="K119" s="2" t="s">
        <v>21</v>
      </c>
      <c r="L119" s="2">
        <v>78.0</v>
      </c>
      <c r="M119" s="2">
        <v>185.0</v>
      </c>
      <c r="N119" s="2">
        <v>607094.0</v>
      </c>
      <c r="O119" s="4">
        <v>45047.0</v>
      </c>
      <c r="P119" s="2" t="b">
        <v>1</v>
      </c>
      <c r="Q119" s="4">
        <f>IFERROR(__xludf.DUMMYFUNCTION("IF(ISDATE(O119),O119,L119)"),45047.0)</f>
        <v>45047</v>
      </c>
      <c r="R119" s="2">
        <v>78.0</v>
      </c>
      <c r="T119" s="4">
        <v>45047.0</v>
      </c>
    </row>
    <row r="120">
      <c r="A120" s="2" t="s">
        <v>213</v>
      </c>
      <c r="B120" s="2" t="s">
        <v>109</v>
      </c>
      <c r="C120" s="2" t="s">
        <v>64</v>
      </c>
      <c r="D120" s="2" t="s">
        <v>67</v>
      </c>
      <c r="E120" s="2">
        <v>28.0</v>
      </c>
      <c r="F120" s="3">
        <v>45144.0</v>
      </c>
      <c r="G120" s="3">
        <v>45282.0</v>
      </c>
      <c r="H120" s="2">
        <v>8288135.0</v>
      </c>
      <c r="I120" s="2">
        <v>7768592.0</v>
      </c>
      <c r="J120" s="2" t="s">
        <v>20</v>
      </c>
      <c r="K120" s="2" t="s">
        <v>25</v>
      </c>
      <c r="L120" s="2">
        <v>99.0</v>
      </c>
      <c r="M120" s="2">
        <v>138.0</v>
      </c>
      <c r="N120" s="2">
        <v>296005.0</v>
      </c>
      <c r="O120" s="4">
        <v>45139.0</v>
      </c>
      <c r="P120" s="2" t="b">
        <v>1</v>
      </c>
      <c r="Q120" s="4">
        <f>IFERROR(__xludf.DUMMYFUNCTION("IF(ISDATE(O120),O120,L120)"),45139.0)</f>
        <v>45139</v>
      </c>
      <c r="R120" s="2">
        <v>99.0</v>
      </c>
      <c r="T120" s="4">
        <v>45139.0</v>
      </c>
    </row>
    <row r="121">
      <c r="A121" s="2" t="s">
        <v>214</v>
      </c>
      <c r="B121" s="2" t="s">
        <v>132</v>
      </c>
      <c r="C121" s="2" t="s">
        <v>28</v>
      </c>
      <c r="D121" s="2" t="s">
        <v>37</v>
      </c>
      <c r="E121" s="2">
        <v>593.0</v>
      </c>
      <c r="F121" s="3">
        <v>45792.0</v>
      </c>
      <c r="G121" s="3">
        <v>45966.0</v>
      </c>
      <c r="H121" s="2">
        <v>1.214732518E9</v>
      </c>
      <c r="I121" s="2">
        <v>1.242467128E9</v>
      </c>
      <c r="J121" s="2" t="s">
        <v>20</v>
      </c>
      <c r="K121" s="2" t="s">
        <v>21</v>
      </c>
      <c r="L121" s="2">
        <v>160.0</v>
      </c>
      <c r="M121" s="2">
        <v>174.0</v>
      </c>
      <c r="N121" s="2">
        <v>2048453.0</v>
      </c>
      <c r="O121" s="4">
        <v>45778.0</v>
      </c>
      <c r="P121" s="2" t="b">
        <v>1</v>
      </c>
      <c r="Q121" s="4">
        <f>IFERROR(__xludf.DUMMYFUNCTION("IF(ISDATE(O121),O121,L121)"),45778.0)</f>
        <v>45778</v>
      </c>
      <c r="R121" s="2">
        <v>160.0</v>
      </c>
      <c r="T121" s="4">
        <v>45778.0</v>
      </c>
    </row>
    <row r="122">
      <c r="A122" s="2" t="s">
        <v>215</v>
      </c>
      <c r="B122" s="2" t="s">
        <v>160</v>
      </c>
      <c r="C122" s="2" t="s">
        <v>93</v>
      </c>
      <c r="D122" s="2" t="s">
        <v>37</v>
      </c>
      <c r="E122" s="2">
        <v>314.0</v>
      </c>
      <c r="F122" s="3">
        <v>45646.0</v>
      </c>
      <c r="G122" s="2">
        <v>2.05252437E8</v>
      </c>
      <c r="H122" s="2" t="s">
        <v>69</v>
      </c>
      <c r="I122" s="2" t="s">
        <v>42</v>
      </c>
      <c r="J122" s="2">
        <v>41.0</v>
      </c>
      <c r="K122" s="2">
        <v>653670.0</v>
      </c>
      <c r="L122" s="6">
        <v>45627.0</v>
      </c>
      <c r="M122" s="2" t="b">
        <v>0</v>
      </c>
      <c r="Q122" s="6">
        <f>IFERROR(__xludf.DUMMYFUNCTION("IF(ISDATE(O122),O122,L122)"),45627.0)</f>
        <v>45627</v>
      </c>
      <c r="R122" s="2">
        <v>41.0</v>
      </c>
      <c r="T122" s="6">
        <v>45627.0</v>
      </c>
    </row>
    <row r="123">
      <c r="A123" s="2" t="s">
        <v>216</v>
      </c>
      <c r="B123" s="2" t="s">
        <v>71</v>
      </c>
      <c r="C123" s="2" t="s">
        <v>64</v>
      </c>
      <c r="D123" s="2" t="s">
        <v>49</v>
      </c>
      <c r="E123" s="2">
        <v>67.0</v>
      </c>
      <c r="F123" s="3">
        <v>45575.0</v>
      </c>
      <c r="G123" s="2">
        <v>4.847585E7</v>
      </c>
      <c r="H123" s="2" t="s">
        <v>41</v>
      </c>
      <c r="I123" s="2" t="s">
        <v>42</v>
      </c>
      <c r="J123" s="2">
        <v>101.0</v>
      </c>
      <c r="K123" s="2">
        <v>723520.0</v>
      </c>
      <c r="L123" s="6">
        <v>45566.0</v>
      </c>
      <c r="M123" s="2" t="b">
        <v>0</v>
      </c>
      <c r="Q123" s="6">
        <f>IFERROR(__xludf.DUMMYFUNCTION("IF(ISDATE(O123),O123,L123)"),45566.0)</f>
        <v>45566</v>
      </c>
      <c r="R123" s="2">
        <v>101.0</v>
      </c>
      <c r="T123" s="6">
        <v>45566.0</v>
      </c>
    </row>
    <row r="124">
      <c r="A124" s="2" t="s">
        <v>217</v>
      </c>
      <c r="B124" s="2" t="s">
        <v>106</v>
      </c>
      <c r="C124" s="2" t="s">
        <v>24</v>
      </c>
      <c r="D124" s="2" t="s">
        <v>67</v>
      </c>
      <c r="E124" s="2">
        <v>30.0</v>
      </c>
      <c r="F124" s="3">
        <v>45665.0</v>
      </c>
      <c r="G124" s="3">
        <v>45825.0</v>
      </c>
      <c r="H124" s="2">
        <v>1.4857881E7</v>
      </c>
      <c r="I124" s="2">
        <v>1.5769185E7</v>
      </c>
      <c r="J124" s="2" t="s">
        <v>20</v>
      </c>
      <c r="K124" s="2" t="s">
        <v>42</v>
      </c>
      <c r="L124" s="2">
        <v>45.0</v>
      </c>
      <c r="M124" s="2">
        <v>160.0</v>
      </c>
      <c r="N124" s="2">
        <v>495263.0</v>
      </c>
      <c r="O124" s="4">
        <v>45658.0</v>
      </c>
      <c r="P124" s="2" t="b">
        <v>1</v>
      </c>
      <c r="Q124" s="4">
        <f>IFERROR(__xludf.DUMMYFUNCTION("IF(ISDATE(O124),O124,L124)"),45658.0)</f>
        <v>45658</v>
      </c>
      <c r="R124" s="2">
        <v>45.0</v>
      </c>
      <c r="T124" s="4">
        <v>45658.0</v>
      </c>
    </row>
    <row r="125">
      <c r="A125" s="2" t="s">
        <v>218</v>
      </c>
      <c r="B125" s="2" t="s">
        <v>99</v>
      </c>
      <c r="C125" s="2" t="s">
        <v>57</v>
      </c>
      <c r="D125" s="2" t="s">
        <v>19</v>
      </c>
      <c r="E125" s="2">
        <v>61.0</v>
      </c>
      <c r="F125" s="3">
        <v>45380.0</v>
      </c>
      <c r="G125" s="3">
        <v>45519.0</v>
      </c>
      <c r="H125" s="2">
        <v>1.8132242E7</v>
      </c>
      <c r="I125" s="2">
        <v>1.7883275E7</v>
      </c>
      <c r="J125" s="2" t="s">
        <v>20</v>
      </c>
      <c r="K125" s="2" t="s">
        <v>42</v>
      </c>
      <c r="L125" s="2">
        <v>136.0</v>
      </c>
      <c r="M125" s="2">
        <v>139.0</v>
      </c>
      <c r="N125" s="2">
        <v>297250.0</v>
      </c>
      <c r="O125" s="4">
        <v>45352.0</v>
      </c>
      <c r="P125" s="2" t="b">
        <v>1</v>
      </c>
      <c r="Q125" s="4">
        <f>IFERROR(__xludf.DUMMYFUNCTION("IF(ISDATE(O125),O125,L125)"),45352.0)</f>
        <v>45352</v>
      </c>
      <c r="R125" s="2">
        <v>136.0</v>
      </c>
      <c r="T125" s="4">
        <v>45352.0</v>
      </c>
    </row>
    <row r="126">
      <c r="A126" s="2" t="s">
        <v>219</v>
      </c>
      <c r="B126" s="2" t="s">
        <v>220</v>
      </c>
      <c r="C126" s="2" t="s">
        <v>28</v>
      </c>
      <c r="D126" s="2" t="s">
        <v>49</v>
      </c>
      <c r="E126" s="2">
        <v>78.0</v>
      </c>
      <c r="F126" s="3">
        <v>45621.0</v>
      </c>
      <c r="G126" s="3">
        <v>45770.0</v>
      </c>
      <c r="H126" s="2">
        <v>1.03666297E8</v>
      </c>
      <c r="I126" s="2">
        <v>9.6126313E7</v>
      </c>
      <c r="J126" s="2" t="s">
        <v>20</v>
      </c>
      <c r="K126" s="2" t="s">
        <v>73</v>
      </c>
      <c r="L126" s="2">
        <v>158.0</v>
      </c>
      <c r="M126" s="2">
        <v>149.0</v>
      </c>
      <c r="N126" s="2">
        <v>1329055.0</v>
      </c>
      <c r="O126" s="6">
        <v>45597.0</v>
      </c>
      <c r="P126" s="2" t="b">
        <v>1</v>
      </c>
      <c r="Q126" s="6">
        <f>IFERROR(__xludf.DUMMYFUNCTION("IF(ISDATE(O126),O126,L126)"),45597.0)</f>
        <v>45597</v>
      </c>
      <c r="R126" s="2">
        <v>158.0</v>
      </c>
      <c r="T126" s="6">
        <v>45597.0</v>
      </c>
    </row>
    <row r="127">
      <c r="A127" s="2" t="s">
        <v>221</v>
      </c>
      <c r="B127" s="2" t="s">
        <v>23</v>
      </c>
      <c r="C127" s="2" t="s">
        <v>28</v>
      </c>
      <c r="D127" s="2" t="s">
        <v>72</v>
      </c>
      <c r="E127" s="2">
        <v>257.0</v>
      </c>
      <c r="F127" s="3">
        <v>45709.0</v>
      </c>
      <c r="G127" s="3">
        <v>45807.0</v>
      </c>
      <c r="H127" s="2">
        <v>3.53100117E8</v>
      </c>
      <c r="I127" s="2">
        <v>3.52952398E8</v>
      </c>
      <c r="J127" s="2" t="s">
        <v>20</v>
      </c>
      <c r="K127" s="2" t="s">
        <v>73</v>
      </c>
      <c r="L127" s="2">
        <v>49.0</v>
      </c>
      <c r="M127" s="2">
        <v>98.0</v>
      </c>
      <c r="N127" s="2">
        <v>1373930.0</v>
      </c>
      <c r="O127" s="4">
        <v>45689.0</v>
      </c>
      <c r="P127" s="2" t="b">
        <v>1</v>
      </c>
      <c r="Q127" s="4">
        <f>IFERROR(__xludf.DUMMYFUNCTION("IF(ISDATE(O127),O127,L127)"),45689.0)</f>
        <v>45689</v>
      </c>
      <c r="R127" s="2">
        <v>49.0</v>
      </c>
      <c r="T127" s="4">
        <v>45689.0</v>
      </c>
    </row>
    <row r="128">
      <c r="A128" s="2" t="s">
        <v>222</v>
      </c>
      <c r="B128" s="2" t="s">
        <v>183</v>
      </c>
      <c r="C128" s="2" t="s">
        <v>28</v>
      </c>
      <c r="D128" s="2" t="s">
        <v>58</v>
      </c>
      <c r="E128" s="2">
        <v>230.0</v>
      </c>
      <c r="F128" s="3">
        <v>45499.0</v>
      </c>
      <c r="G128" s="2">
        <v>1.88992434E8</v>
      </c>
      <c r="H128" s="2" t="s">
        <v>69</v>
      </c>
      <c r="I128" s="2" t="s">
        <v>21</v>
      </c>
      <c r="J128" s="2">
        <v>116.0</v>
      </c>
      <c r="K128" s="2">
        <v>821706.0</v>
      </c>
      <c r="L128" s="4">
        <v>45474.0</v>
      </c>
      <c r="M128" s="2" t="b">
        <v>0</v>
      </c>
      <c r="Q128" s="4">
        <f>IFERROR(__xludf.DUMMYFUNCTION("IF(ISDATE(O128),O128,L128)"),45474.0)</f>
        <v>45474</v>
      </c>
      <c r="R128" s="2">
        <v>116.0</v>
      </c>
      <c r="T128" s="4">
        <v>45474.0</v>
      </c>
    </row>
    <row r="129">
      <c r="A129" s="2" t="s">
        <v>223</v>
      </c>
      <c r="B129" s="2" t="s">
        <v>208</v>
      </c>
      <c r="C129" s="2" t="s">
        <v>28</v>
      </c>
      <c r="D129" s="2" t="s">
        <v>33</v>
      </c>
      <c r="E129" s="2">
        <v>85.0</v>
      </c>
      <c r="F129" s="3">
        <v>45514.0</v>
      </c>
      <c r="G129" s="3">
        <v>45692.0</v>
      </c>
      <c r="H129" s="2">
        <v>7.3483855E7</v>
      </c>
      <c r="I129" s="2">
        <v>6.8959287E7</v>
      </c>
      <c r="J129" s="2" t="s">
        <v>20</v>
      </c>
      <c r="K129" s="2" t="s">
        <v>21</v>
      </c>
      <c r="L129" s="2">
        <v>88.0</v>
      </c>
      <c r="M129" s="2">
        <v>178.0</v>
      </c>
      <c r="N129" s="2">
        <v>864516.0</v>
      </c>
      <c r="O129" s="4">
        <v>45505.0</v>
      </c>
      <c r="P129" s="2" t="b">
        <v>1</v>
      </c>
      <c r="Q129" s="4">
        <f>IFERROR(__xludf.DUMMYFUNCTION("IF(ISDATE(O129),O129,L129)"),45505.0)</f>
        <v>45505</v>
      </c>
      <c r="R129" s="2">
        <v>88.0</v>
      </c>
      <c r="T129" s="4">
        <v>45505.0</v>
      </c>
    </row>
    <row r="130">
      <c r="A130" s="2" t="s">
        <v>224</v>
      </c>
      <c r="B130" s="2" t="s">
        <v>54</v>
      </c>
      <c r="C130" s="2" t="s">
        <v>28</v>
      </c>
      <c r="D130" s="2" t="s">
        <v>29</v>
      </c>
      <c r="E130" s="2">
        <v>4169.0</v>
      </c>
      <c r="F130" s="3">
        <v>45374.0</v>
      </c>
      <c r="G130" s="2">
        <v>1.633345447E9</v>
      </c>
      <c r="H130" s="2" t="s">
        <v>41</v>
      </c>
      <c r="I130" s="2" t="s">
        <v>73</v>
      </c>
      <c r="J130" s="2">
        <v>139.0</v>
      </c>
      <c r="K130" s="2">
        <v>391784.0</v>
      </c>
      <c r="L130" s="4">
        <v>45352.0</v>
      </c>
      <c r="M130" s="2" t="b">
        <v>0</v>
      </c>
      <c r="Q130" s="4">
        <f>IFERROR(__xludf.DUMMYFUNCTION("IF(ISDATE(O130),O130,L130)"),45352.0)</f>
        <v>45352</v>
      </c>
      <c r="R130" s="2">
        <v>139.0</v>
      </c>
      <c r="T130" s="4">
        <v>45352.0</v>
      </c>
    </row>
    <row r="131">
      <c r="A131" s="2" t="s">
        <v>225</v>
      </c>
      <c r="B131" s="2" t="s">
        <v>111</v>
      </c>
      <c r="C131" s="2" t="s">
        <v>28</v>
      </c>
      <c r="D131" s="2" t="s">
        <v>37</v>
      </c>
      <c r="E131" s="2">
        <v>473.0</v>
      </c>
      <c r="F131" s="3">
        <v>45724.0</v>
      </c>
      <c r="G131" s="3">
        <v>45869.0</v>
      </c>
      <c r="H131" s="2">
        <v>9.7587092E8</v>
      </c>
      <c r="I131" s="2">
        <v>9.80649536E8</v>
      </c>
      <c r="J131" s="2" t="s">
        <v>20</v>
      </c>
      <c r="K131" s="2" t="s">
        <v>42</v>
      </c>
      <c r="L131" s="2">
        <v>94.0</v>
      </c>
      <c r="M131" s="2">
        <v>145.0</v>
      </c>
      <c r="N131" s="2">
        <v>2063152.0</v>
      </c>
      <c r="O131" s="4">
        <v>45717.0</v>
      </c>
      <c r="P131" s="2" t="b">
        <v>1</v>
      </c>
      <c r="Q131" s="4">
        <f>IFERROR(__xludf.DUMMYFUNCTION("IF(ISDATE(O131),O131,L131)"),45717.0)</f>
        <v>45717</v>
      </c>
      <c r="R131" s="2">
        <v>94.0</v>
      </c>
      <c r="T131" s="4">
        <v>45717.0</v>
      </c>
    </row>
    <row r="132">
      <c r="A132" s="2" t="s">
        <v>226</v>
      </c>
      <c r="B132" s="2" t="s">
        <v>227</v>
      </c>
      <c r="C132" s="2" t="s">
        <v>24</v>
      </c>
      <c r="D132" s="2" t="s">
        <v>102</v>
      </c>
      <c r="E132" s="2">
        <v>130.0</v>
      </c>
      <c r="F132" s="3">
        <v>45189.0</v>
      </c>
      <c r="G132" s="3">
        <v>45358.0</v>
      </c>
      <c r="H132" s="2">
        <v>9.6239998E7</v>
      </c>
      <c r="I132" s="2">
        <v>1.00230529E8</v>
      </c>
      <c r="J132" s="2" t="s">
        <v>20</v>
      </c>
      <c r="K132" s="2" t="s">
        <v>21</v>
      </c>
      <c r="L132" s="2">
        <v>50.0</v>
      </c>
      <c r="M132" s="2">
        <v>169.0</v>
      </c>
      <c r="N132" s="2">
        <v>740308.0</v>
      </c>
      <c r="O132" s="4">
        <v>45170.0</v>
      </c>
      <c r="P132" s="2" t="b">
        <v>1</v>
      </c>
      <c r="Q132" s="4">
        <f>IFERROR(__xludf.DUMMYFUNCTION("IF(ISDATE(O132),O132,L132)"),45170.0)</f>
        <v>45170</v>
      </c>
      <c r="R132" s="2">
        <v>50.0</v>
      </c>
      <c r="T132" s="4">
        <v>45170.0</v>
      </c>
    </row>
    <row r="133">
      <c r="A133" s="2" t="s">
        <v>228</v>
      </c>
      <c r="B133" s="2" t="s">
        <v>109</v>
      </c>
      <c r="C133" s="2" t="s">
        <v>101</v>
      </c>
      <c r="D133" s="2" t="s">
        <v>81</v>
      </c>
      <c r="E133" s="2">
        <v>4200.0</v>
      </c>
      <c r="F133" s="3">
        <v>45386.0</v>
      </c>
      <c r="G133" s="2">
        <v>7.53336656E8</v>
      </c>
      <c r="H133" s="2" t="s">
        <v>34</v>
      </c>
      <c r="I133" s="2" t="s">
        <v>25</v>
      </c>
      <c r="J133" s="2">
        <v>87.0</v>
      </c>
      <c r="K133" s="2">
        <v>179366.0</v>
      </c>
      <c r="L133" s="4">
        <v>45383.0</v>
      </c>
      <c r="M133" s="2" t="b">
        <v>0</v>
      </c>
      <c r="Q133" s="4">
        <f>IFERROR(__xludf.DUMMYFUNCTION("IF(ISDATE(O133),O133,L133)"),45383.0)</f>
        <v>45383</v>
      </c>
      <c r="R133" s="2">
        <v>87.0</v>
      </c>
      <c r="T133" s="4">
        <v>45383.0</v>
      </c>
    </row>
    <row r="134">
      <c r="A134" s="2" t="s">
        <v>229</v>
      </c>
      <c r="B134" s="2" t="s">
        <v>129</v>
      </c>
      <c r="C134" s="2" t="s">
        <v>40</v>
      </c>
      <c r="D134" s="2" t="s">
        <v>67</v>
      </c>
      <c r="E134" s="2">
        <v>29.0</v>
      </c>
      <c r="F134" s="3">
        <v>45407.0</v>
      </c>
      <c r="G134" s="3">
        <v>45499.0</v>
      </c>
      <c r="H134" s="2">
        <v>5930299.0</v>
      </c>
      <c r="I134" s="2">
        <v>6017042.0</v>
      </c>
      <c r="J134" s="2" t="s">
        <v>20</v>
      </c>
      <c r="K134" s="2" t="s">
        <v>30</v>
      </c>
      <c r="L134" s="2">
        <v>134.0</v>
      </c>
      <c r="M134" s="2">
        <v>92.0</v>
      </c>
      <c r="N134" s="2">
        <v>204493.0</v>
      </c>
      <c r="O134" s="4">
        <v>45383.0</v>
      </c>
      <c r="P134" s="2" t="b">
        <v>1</v>
      </c>
      <c r="Q134" s="4">
        <f>IFERROR(__xludf.DUMMYFUNCTION("IF(ISDATE(O134),O134,L134)"),45383.0)</f>
        <v>45383</v>
      </c>
      <c r="R134" s="2">
        <v>134.0</v>
      </c>
      <c r="T134" s="4">
        <v>45383.0</v>
      </c>
    </row>
    <row r="135">
      <c r="A135" s="2" t="s">
        <v>230</v>
      </c>
      <c r="B135" s="2" t="s">
        <v>117</v>
      </c>
      <c r="C135" s="2" t="s">
        <v>28</v>
      </c>
      <c r="D135" s="2" t="s">
        <v>81</v>
      </c>
      <c r="E135" s="2">
        <v>4102.0</v>
      </c>
      <c r="F135" s="3">
        <v>45304.0</v>
      </c>
      <c r="G135" s="2">
        <v>2.317679059E9</v>
      </c>
      <c r="H135" s="2" t="s">
        <v>41</v>
      </c>
      <c r="I135" s="2" t="s">
        <v>21</v>
      </c>
      <c r="J135" s="2">
        <v>162.0</v>
      </c>
      <c r="K135" s="2">
        <v>565012.0</v>
      </c>
      <c r="L135" s="4">
        <v>45292.0</v>
      </c>
      <c r="M135" s="2" t="b">
        <v>0</v>
      </c>
      <c r="Q135" s="4">
        <f>IFERROR(__xludf.DUMMYFUNCTION("IF(ISDATE(O135),O135,L135)"),45292.0)</f>
        <v>45292</v>
      </c>
      <c r="R135" s="2">
        <v>162.0</v>
      </c>
      <c r="T135" s="4">
        <v>45292.0</v>
      </c>
    </row>
    <row r="136">
      <c r="A136" s="2" t="s">
        <v>231</v>
      </c>
      <c r="B136" s="2" t="s">
        <v>109</v>
      </c>
      <c r="C136" s="2" t="s">
        <v>64</v>
      </c>
      <c r="D136" s="2" t="s">
        <v>49</v>
      </c>
      <c r="E136" s="2">
        <v>168.0</v>
      </c>
      <c r="F136" s="3">
        <v>45904.0</v>
      </c>
      <c r="G136" s="2">
        <v>1.09003926E8</v>
      </c>
      <c r="H136" s="2" t="s">
        <v>41</v>
      </c>
      <c r="I136" s="2" t="s">
        <v>25</v>
      </c>
      <c r="J136" s="2">
        <v>171.0</v>
      </c>
      <c r="K136" s="2">
        <v>648833.0</v>
      </c>
      <c r="L136" s="4">
        <v>45901.0</v>
      </c>
      <c r="M136" s="2" t="b">
        <v>0</v>
      </c>
      <c r="Q136" s="4">
        <f>IFERROR(__xludf.DUMMYFUNCTION("IF(ISDATE(O136),O136,L136)"),45901.0)</f>
        <v>45901</v>
      </c>
      <c r="R136" s="2">
        <v>171.0</v>
      </c>
      <c r="T136" s="4">
        <v>45901.0</v>
      </c>
    </row>
    <row r="137">
      <c r="A137" s="2" t="s">
        <v>232</v>
      </c>
      <c r="B137" s="2" t="s">
        <v>84</v>
      </c>
      <c r="C137" s="2" t="s">
        <v>28</v>
      </c>
      <c r="D137" s="2" t="s">
        <v>29</v>
      </c>
      <c r="E137" s="2">
        <v>4296.0</v>
      </c>
      <c r="F137" s="3">
        <v>45907.0</v>
      </c>
      <c r="G137" s="3">
        <v>45948.0</v>
      </c>
      <c r="H137" s="2">
        <v>1.929775753E9</v>
      </c>
      <c r="I137" s="2">
        <v>2.03394572E9</v>
      </c>
      <c r="J137" s="2" t="s">
        <v>20</v>
      </c>
      <c r="K137" s="2" t="s">
        <v>21</v>
      </c>
      <c r="L137" s="2">
        <v>134.0</v>
      </c>
      <c r="M137" s="2">
        <v>41.0</v>
      </c>
      <c r="N137" s="2">
        <v>449203.0</v>
      </c>
      <c r="O137" s="4">
        <v>45901.0</v>
      </c>
      <c r="P137" s="2" t="b">
        <v>1</v>
      </c>
      <c r="Q137" s="4">
        <f>IFERROR(__xludf.DUMMYFUNCTION("IF(ISDATE(O137),O137,L137)"),45901.0)</f>
        <v>45901</v>
      </c>
      <c r="R137" s="2">
        <v>134.0</v>
      </c>
      <c r="T137" s="4">
        <v>45901.0</v>
      </c>
    </row>
    <row r="138">
      <c r="A138" s="2" t="s">
        <v>233</v>
      </c>
      <c r="B138" s="2" t="s">
        <v>153</v>
      </c>
      <c r="C138" s="2" t="s">
        <v>18</v>
      </c>
      <c r="D138" s="2" t="s">
        <v>19</v>
      </c>
      <c r="E138" s="2">
        <v>47.0</v>
      </c>
      <c r="F138" s="3">
        <v>45463.0</v>
      </c>
      <c r="G138" s="3">
        <v>45518.0</v>
      </c>
      <c r="H138" s="2">
        <v>1.1136325E7</v>
      </c>
      <c r="I138" s="2">
        <v>1.1881009E7</v>
      </c>
      <c r="J138" s="2" t="s">
        <v>20</v>
      </c>
      <c r="K138" s="2" t="s">
        <v>73</v>
      </c>
      <c r="L138" s="2">
        <v>109.0</v>
      </c>
      <c r="M138" s="2">
        <v>55.0</v>
      </c>
      <c r="N138" s="2">
        <v>236943.0</v>
      </c>
      <c r="O138" s="4">
        <v>45444.0</v>
      </c>
      <c r="P138" s="2" t="b">
        <v>1</v>
      </c>
      <c r="Q138" s="4">
        <f>IFERROR(__xludf.DUMMYFUNCTION("IF(ISDATE(O138),O138,L138)"),45444.0)</f>
        <v>45444</v>
      </c>
      <c r="R138" s="2">
        <v>109.0</v>
      </c>
      <c r="T138" s="4">
        <v>45444.0</v>
      </c>
    </row>
    <row r="139">
      <c r="A139" s="2" t="s">
        <v>234</v>
      </c>
      <c r="B139" s="2" t="s">
        <v>54</v>
      </c>
      <c r="C139" s="2" t="s">
        <v>57</v>
      </c>
      <c r="D139" s="2" t="s">
        <v>29</v>
      </c>
      <c r="E139" s="2">
        <v>828.0</v>
      </c>
      <c r="F139" s="3">
        <v>45264.0</v>
      </c>
      <c r="G139" s="3">
        <v>45452.0</v>
      </c>
      <c r="H139" s="2">
        <v>1.19783529E8</v>
      </c>
      <c r="I139" s="2">
        <v>1.15030437E8</v>
      </c>
      <c r="J139" s="2" t="s">
        <v>20</v>
      </c>
      <c r="K139" s="2" t="s">
        <v>25</v>
      </c>
      <c r="L139" s="2">
        <v>43.0</v>
      </c>
      <c r="M139" s="2">
        <v>188.0</v>
      </c>
      <c r="N139" s="2">
        <v>144666.0</v>
      </c>
      <c r="O139" s="6">
        <v>45261.0</v>
      </c>
      <c r="P139" s="2" t="b">
        <v>1</v>
      </c>
      <c r="Q139" s="6">
        <f>IFERROR(__xludf.DUMMYFUNCTION("IF(ISDATE(O139),O139,L139)"),45261.0)</f>
        <v>45261</v>
      </c>
      <c r="R139" s="2">
        <v>43.0</v>
      </c>
      <c r="T139" s="6">
        <v>45261.0</v>
      </c>
    </row>
    <row r="140">
      <c r="A140" s="2" t="s">
        <v>235</v>
      </c>
      <c r="B140" s="2" t="s">
        <v>106</v>
      </c>
      <c r="C140" s="2" t="s">
        <v>24</v>
      </c>
      <c r="D140" s="2" t="s">
        <v>29</v>
      </c>
      <c r="E140" s="2">
        <v>1558.0</v>
      </c>
      <c r="F140" s="3">
        <v>45917.0</v>
      </c>
      <c r="G140" s="3">
        <v>46101.0</v>
      </c>
      <c r="H140" s="2">
        <v>4.58806203E8</v>
      </c>
      <c r="I140" s="2">
        <v>4.65783083E8</v>
      </c>
      <c r="J140" s="2" t="s">
        <v>20</v>
      </c>
      <c r="K140" s="2" t="s">
        <v>21</v>
      </c>
      <c r="L140" s="2">
        <v>84.0</v>
      </c>
      <c r="M140" s="2">
        <v>184.0</v>
      </c>
      <c r="N140" s="2">
        <v>294484.0</v>
      </c>
      <c r="O140" s="4">
        <v>45901.0</v>
      </c>
      <c r="P140" s="2" t="b">
        <v>1</v>
      </c>
      <c r="Q140" s="4">
        <f>IFERROR(__xludf.DUMMYFUNCTION("IF(ISDATE(O140),O140,L140)"),45901.0)</f>
        <v>45901</v>
      </c>
      <c r="R140" s="2">
        <v>84.0</v>
      </c>
      <c r="T140" s="4">
        <v>45901.0</v>
      </c>
    </row>
    <row r="141">
      <c r="A141" s="2" t="s">
        <v>236</v>
      </c>
      <c r="B141" s="2" t="s">
        <v>60</v>
      </c>
      <c r="C141" s="2" t="s">
        <v>64</v>
      </c>
      <c r="D141" s="2" t="s">
        <v>67</v>
      </c>
      <c r="E141" s="2">
        <v>29.0</v>
      </c>
      <c r="F141" s="3">
        <v>45588.0</v>
      </c>
      <c r="G141" s="3">
        <v>45733.0</v>
      </c>
      <c r="H141" s="2">
        <v>9086869.0</v>
      </c>
      <c r="I141" s="2">
        <v>8887099.0</v>
      </c>
      <c r="J141" s="2" t="s">
        <v>20</v>
      </c>
      <c r="K141" s="2" t="s">
        <v>42</v>
      </c>
      <c r="L141" s="2">
        <v>59.0</v>
      </c>
      <c r="M141" s="2">
        <v>145.0</v>
      </c>
      <c r="N141" s="2">
        <v>313340.0</v>
      </c>
      <c r="O141" s="6">
        <v>45566.0</v>
      </c>
      <c r="P141" s="2" t="b">
        <v>1</v>
      </c>
      <c r="Q141" s="6">
        <f>IFERROR(__xludf.DUMMYFUNCTION("IF(ISDATE(O141),O141,L141)"),45566.0)</f>
        <v>45566</v>
      </c>
      <c r="R141" s="2">
        <v>59.0</v>
      </c>
      <c r="T141" s="6">
        <v>45566.0</v>
      </c>
    </row>
    <row r="142">
      <c r="A142" s="2" t="s">
        <v>237</v>
      </c>
      <c r="B142" s="2" t="s">
        <v>23</v>
      </c>
      <c r="C142" s="2" t="s">
        <v>24</v>
      </c>
      <c r="D142" s="2" t="s">
        <v>81</v>
      </c>
      <c r="E142" s="2">
        <v>1972.0</v>
      </c>
      <c r="F142" s="3">
        <v>45085.0</v>
      </c>
      <c r="G142" s="3">
        <v>45125.0</v>
      </c>
      <c r="H142" s="2">
        <v>8.09899601E8</v>
      </c>
      <c r="I142" s="2">
        <v>8.15053252E8</v>
      </c>
      <c r="J142" s="2" t="s">
        <v>20</v>
      </c>
      <c r="K142" s="2" t="s">
        <v>25</v>
      </c>
      <c r="L142" s="2">
        <v>14.0</v>
      </c>
      <c r="M142" s="2">
        <v>40.0</v>
      </c>
      <c r="N142" s="2">
        <v>410700.0</v>
      </c>
      <c r="O142" s="4">
        <v>45078.0</v>
      </c>
      <c r="P142" s="2" t="b">
        <v>1</v>
      </c>
      <c r="Q142" s="4">
        <f>IFERROR(__xludf.DUMMYFUNCTION("IF(ISDATE(O142),O142,L142)"),45078.0)</f>
        <v>45078</v>
      </c>
      <c r="R142" s="2">
        <v>14.0</v>
      </c>
      <c r="T142" s="4">
        <v>45078.0</v>
      </c>
    </row>
    <row r="143">
      <c r="A143" s="2" t="s">
        <v>238</v>
      </c>
      <c r="B143" s="2" t="s">
        <v>208</v>
      </c>
      <c r="C143" s="2" t="s">
        <v>18</v>
      </c>
      <c r="D143" s="2" t="s">
        <v>29</v>
      </c>
      <c r="E143" s="2">
        <v>1473.0</v>
      </c>
      <c r="F143" s="3">
        <v>45084.0</v>
      </c>
      <c r="G143" s="3">
        <v>45276.0</v>
      </c>
      <c r="H143" s="2">
        <v>2.15003984E8</v>
      </c>
      <c r="I143" s="2">
        <v>2.25635284E8</v>
      </c>
      <c r="J143" s="2" t="s">
        <v>20</v>
      </c>
      <c r="K143" s="2" t="s">
        <v>42</v>
      </c>
      <c r="L143" s="2">
        <v>117.0</v>
      </c>
      <c r="M143" s="2">
        <v>192.0</v>
      </c>
      <c r="N143" s="2">
        <v>145963.0</v>
      </c>
      <c r="O143" s="4">
        <v>45078.0</v>
      </c>
      <c r="P143" s="2" t="b">
        <v>1</v>
      </c>
      <c r="Q143" s="4">
        <f>IFERROR(__xludf.DUMMYFUNCTION("IF(ISDATE(O143),O143,L143)"),45078.0)</f>
        <v>45078</v>
      </c>
      <c r="R143" s="2">
        <v>117.0</v>
      </c>
      <c r="T143" s="4">
        <v>45078.0</v>
      </c>
    </row>
    <row r="144">
      <c r="A144" s="2" t="s">
        <v>239</v>
      </c>
      <c r="B144" s="2" t="s">
        <v>145</v>
      </c>
      <c r="C144" s="2" t="s">
        <v>28</v>
      </c>
      <c r="D144" s="2" t="s">
        <v>67</v>
      </c>
      <c r="E144" s="2">
        <v>32.0</v>
      </c>
      <c r="F144" s="3">
        <v>45218.0</v>
      </c>
      <c r="G144" s="2">
        <v>1.7966166E7</v>
      </c>
      <c r="H144" s="2" t="s">
        <v>69</v>
      </c>
      <c r="I144" s="2" t="s">
        <v>42</v>
      </c>
      <c r="J144" s="2">
        <v>84.0</v>
      </c>
      <c r="K144" s="2">
        <v>561443.0</v>
      </c>
      <c r="L144" s="6">
        <v>45200.0</v>
      </c>
      <c r="M144" s="2" t="b">
        <v>0</v>
      </c>
      <c r="Q144" s="6">
        <f>IFERROR(__xludf.DUMMYFUNCTION("IF(ISDATE(O144),O144,L144)"),45200.0)</f>
        <v>45200</v>
      </c>
      <c r="R144" s="2">
        <v>84.0</v>
      </c>
      <c r="T144" s="6">
        <v>45200.0</v>
      </c>
    </row>
    <row r="145">
      <c r="A145" s="2" t="s">
        <v>240</v>
      </c>
      <c r="B145" s="2" t="s">
        <v>142</v>
      </c>
      <c r="C145" s="2" t="s">
        <v>101</v>
      </c>
      <c r="D145" s="2" t="s">
        <v>81</v>
      </c>
      <c r="E145" s="2">
        <v>1989.0</v>
      </c>
      <c r="F145" s="3">
        <v>45896.0</v>
      </c>
      <c r="G145" s="3">
        <v>46023.0</v>
      </c>
      <c r="H145" s="2">
        <v>3.33389939E8</v>
      </c>
      <c r="I145" s="2">
        <v>3.21749121E8</v>
      </c>
      <c r="J145" s="2" t="s">
        <v>20</v>
      </c>
      <c r="K145" s="2" t="s">
        <v>73</v>
      </c>
      <c r="L145" s="2">
        <v>133.0</v>
      </c>
      <c r="M145" s="2">
        <v>127.0</v>
      </c>
      <c r="N145" s="2">
        <v>167617.0</v>
      </c>
      <c r="O145" s="4">
        <v>45870.0</v>
      </c>
      <c r="P145" s="2" t="b">
        <v>1</v>
      </c>
      <c r="Q145" s="4">
        <f>IFERROR(__xludf.DUMMYFUNCTION("IF(ISDATE(O145),O145,L145)"),45870.0)</f>
        <v>45870</v>
      </c>
      <c r="R145" s="2">
        <v>133.0</v>
      </c>
      <c r="T145" s="4">
        <v>45870.0</v>
      </c>
    </row>
    <row r="146">
      <c r="A146" s="2" t="s">
        <v>241</v>
      </c>
      <c r="B146" s="2" t="s">
        <v>135</v>
      </c>
      <c r="C146" s="2" t="s">
        <v>64</v>
      </c>
      <c r="D146" s="2" t="s">
        <v>102</v>
      </c>
      <c r="E146" s="2">
        <v>125.0</v>
      </c>
      <c r="F146" s="3">
        <v>45820.0</v>
      </c>
      <c r="G146" s="3">
        <v>45999.0</v>
      </c>
      <c r="H146" s="2">
        <v>7.3282237E7</v>
      </c>
      <c r="I146" s="2">
        <v>7.1772178E7</v>
      </c>
      <c r="J146" s="2" t="s">
        <v>20</v>
      </c>
      <c r="K146" s="2" t="s">
        <v>21</v>
      </c>
      <c r="L146" s="2">
        <v>137.0</v>
      </c>
      <c r="M146" s="2">
        <v>179.0</v>
      </c>
      <c r="N146" s="2">
        <v>586258.0</v>
      </c>
      <c r="O146" s="4">
        <v>45809.0</v>
      </c>
      <c r="P146" s="2" t="b">
        <v>1</v>
      </c>
      <c r="Q146" s="4">
        <f>IFERROR(__xludf.DUMMYFUNCTION("IF(ISDATE(O146),O146,L146)"),45809.0)</f>
        <v>45809</v>
      </c>
      <c r="R146" s="2">
        <v>137.0</v>
      </c>
      <c r="T146" s="4">
        <v>45809.0</v>
      </c>
    </row>
    <row r="147">
      <c r="A147" s="2" t="s">
        <v>242</v>
      </c>
      <c r="B147" s="2" t="s">
        <v>160</v>
      </c>
      <c r="C147" s="2" t="s">
        <v>40</v>
      </c>
      <c r="D147" s="2" t="s">
        <v>37</v>
      </c>
      <c r="E147" s="2">
        <v>342.0</v>
      </c>
      <c r="F147" s="3">
        <v>45387.0</v>
      </c>
      <c r="G147" s="2">
        <v>2.22412955E8</v>
      </c>
      <c r="H147" s="2" t="s">
        <v>41</v>
      </c>
      <c r="I147" s="2" t="s">
        <v>21</v>
      </c>
      <c r="J147" s="2">
        <v>61.0</v>
      </c>
      <c r="K147" s="2">
        <v>650330.0</v>
      </c>
      <c r="L147" s="4">
        <v>45383.0</v>
      </c>
      <c r="M147" s="2" t="b">
        <v>0</v>
      </c>
      <c r="Q147" s="4">
        <f>IFERROR(__xludf.DUMMYFUNCTION("IF(ISDATE(O147),O147,L147)"),45383.0)</f>
        <v>45383</v>
      </c>
      <c r="R147" s="2">
        <v>61.0</v>
      </c>
      <c r="T147" s="4">
        <v>45383.0</v>
      </c>
    </row>
    <row r="148">
      <c r="A148" s="2" t="s">
        <v>243</v>
      </c>
      <c r="B148" s="2" t="s">
        <v>80</v>
      </c>
      <c r="C148" s="2" t="s">
        <v>57</v>
      </c>
      <c r="D148" s="2" t="s">
        <v>67</v>
      </c>
      <c r="E148" s="2">
        <v>25.0</v>
      </c>
      <c r="F148" s="3">
        <v>45332.0</v>
      </c>
      <c r="G148" s="3">
        <v>45407.0</v>
      </c>
      <c r="H148" s="2">
        <v>5625012.0</v>
      </c>
      <c r="I148" s="2">
        <v>5248456.0</v>
      </c>
      <c r="J148" s="2" t="s">
        <v>20</v>
      </c>
      <c r="K148" s="2" t="s">
        <v>42</v>
      </c>
      <c r="L148" s="2">
        <v>12.0</v>
      </c>
      <c r="M148" s="2">
        <v>75.0</v>
      </c>
      <c r="N148" s="2">
        <v>225000.0</v>
      </c>
      <c r="O148" s="4">
        <v>45323.0</v>
      </c>
      <c r="P148" s="2" t="b">
        <v>1</v>
      </c>
      <c r="Q148" s="4">
        <f>IFERROR(__xludf.DUMMYFUNCTION("IF(ISDATE(O148),O148,L148)"),45323.0)</f>
        <v>45323</v>
      </c>
      <c r="R148" s="2">
        <v>12.0</v>
      </c>
      <c r="T148" s="4">
        <v>45323.0</v>
      </c>
    </row>
    <row r="149">
      <c r="A149" s="2" t="s">
        <v>244</v>
      </c>
      <c r="B149" s="2" t="s">
        <v>88</v>
      </c>
      <c r="C149" s="2" t="s">
        <v>24</v>
      </c>
      <c r="D149" s="2" t="s">
        <v>33</v>
      </c>
      <c r="E149" s="2">
        <v>110.0</v>
      </c>
      <c r="F149" s="3">
        <v>45067.0</v>
      </c>
      <c r="G149" s="3">
        <v>45202.0</v>
      </c>
      <c r="H149" s="2">
        <v>8.0682658E7</v>
      </c>
      <c r="I149" s="2">
        <v>7.6019751E7</v>
      </c>
      <c r="J149" s="2" t="s">
        <v>20</v>
      </c>
      <c r="K149" s="2" t="s">
        <v>73</v>
      </c>
      <c r="L149" s="2">
        <v>119.0</v>
      </c>
      <c r="M149" s="2">
        <v>135.0</v>
      </c>
      <c r="N149" s="2">
        <v>733479.0</v>
      </c>
      <c r="O149" s="4">
        <v>45047.0</v>
      </c>
      <c r="P149" s="2" t="b">
        <v>1</v>
      </c>
      <c r="Q149" s="4">
        <f>IFERROR(__xludf.DUMMYFUNCTION("IF(ISDATE(O149),O149,L149)"),45047.0)</f>
        <v>45047</v>
      </c>
      <c r="R149" s="2">
        <v>119.0</v>
      </c>
      <c r="T149" s="4">
        <v>45047.0</v>
      </c>
    </row>
    <row r="150">
      <c r="A150" s="2" t="s">
        <v>245</v>
      </c>
      <c r="B150" s="2" t="s">
        <v>17</v>
      </c>
      <c r="C150" s="2" t="s">
        <v>64</v>
      </c>
      <c r="D150" s="2" t="s">
        <v>33</v>
      </c>
      <c r="E150" s="2">
        <v>66.0</v>
      </c>
      <c r="F150" s="3">
        <v>45782.0</v>
      </c>
      <c r="G150" s="3">
        <v>45983.0</v>
      </c>
      <c r="H150" s="2">
        <v>3.2478495E7</v>
      </c>
      <c r="I150" s="2">
        <v>3.2079683E7</v>
      </c>
      <c r="J150" s="2" t="s">
        <v>20</v>
      </c>
      <c r="K150" s="2" t="s">
        <v>30</v>
      </c>
      <c r="L150" s="2">
        <v>65.0</v>
      </c>
      <c r="M150" s="2">
        <v>201.0</v>
      </c>
      <c r="N150" s="2">
        <v>492098.0</v>
      </c>
      <c r="O150" s="4">
        <v>45778.0</v>
      </c>
      <c r="P150" s="2" t="b">
        <v>1</v>
      </c>
      <c r="Q150" s="4">
        <f>IFERROR(__xludf.DUMMYFUNCTION("IF(ISDATE(O150),O150,L150)"),45778.0)</f>
        <v>45778</v>
      </c>
      <c r="R150" s="2">
        <v>65.0</v>
      </c>
      <c r="T150" s="4">
        <v>45778.0</v>
      </c>
    </row>
    <row r="151">
      <c r="A151" s="2" t="s">
        <v>246</v>
      </c>
      <c r="B151" s="2" t="s">
        <v>113</v>
      </c>
      <c r="C151" s="2" t="s">
        <v>24</v>
      </c>
      <c r="D151" s="2" t="s">
        <v>19</v>
      </c>
      <c r="E151" s="2">
        <v>47.0</v>
      </c>
      <c r="F151" s="3">
        <v>45739.0</v>
      </c>
      <c r="G151" s="3">
        <v>45770.0</v>
      </c>
      <c r="H151" s="2">
        <v>2.3223855E7</v>
      </c>
      <c r="I151" s="2">
        <v>2.4729306E7</v>
      </c>
      <c r="J151" s="2" t="s">
        <v>20</v>
      </c>
      <c r="K151" s="2" t="s">
        <v>25</v>
      </c>
      <c r="L151" s="2">
        <v>142.0</v>
      </c>
      <c r="M151" s="2">
        <v>31.0</v>
      </c>
      <c r="N151" s="2">
        <v>494125.0</v>
      </c>
      <c r="O151" s="4">
        <v>45717.0</v>
      </c>
      <c r="P151" s="2" t="b">
        <v>1</v>
      </c>
      <c r="Q151" s="4">
        <f>IFERROR(__xludf.DUMMYFUNCTION("IF(ISDATE(O151),O151,L151)"),45717.0)</f>
        <v>45717</v>
      </c>
      <c r="R151" s="2">
        <v>142.0</v>
      </c>
      <c r="T151" s="4">
        <v>45717.0</v>
      </c>
    </row>
    <row r="152">
      <c r="A152" s="2" t="s">
        <v>247</v>
      </c>
      <c r="B152" s="2" t="s">
        <v>163</v>
      </c>
      <c r="C152" s="2" t="s">
        <v>28</v>
      </c>
      <c r="D152" s="2" t="s">
        <v>58</v>
      </c>
      <c r="E152" s="2">
        <v>197.0</v>
      </c>
      <c r="F152" s="3">
        <v>45074.0</v>
      </c>
      <c r="G152" s="3">
        <v>45089.0</v>
      </c>
      <c r="H152" s="2">
        <v>2.0186369E8</v>
      </c>
      <c r="I152" s="2">
        <v>1.93484384E8</v>
      </c>
      <c r="J152" s="2" t="s">
        <v>20</v>
      </c>
      <c r="K152" s="2" t="s">
        <v>73</v>
      </c>
      <c r="L152" s="2">
        <v>52.0</v>
      </c>
      <c r="M152" s="2">
        <v>15.0</v>
      </c>
      <c r="N152" s="2">
        <v>1024689.0</v>
      </c>
      <c r="O152" s="4">
        <v>45047.0</v>
      </c>
      <c r="P152" s="2" t="b">
        <v>1</v>
      </c>
      <c r="Q152" s="4">
        <f>IFERROR(__xludf.DUMMYFUNCTION("IF(ISDATE(O152),O152,L152)"),45047.0)</f>
        <v>45047</v>
      </c>
      <c r="R152" s="2">
        <v>52.0</v>
      </c>
      <c r="T152" s="4">
        <v>45047.0</v>
      </c>
    </row>
    <row r="153">
      <c r="A153" s="2" t="s">
        <v>248</v>
      </c>
      <c r="B153" s="2" t="s">
        <v>54</v>
      </c>
      <c r="C153" s="2" t="s">
        <v>18</v>
      </c>
      <c r="D153" s="2" t="s">
        <v>33</v>
      </c>
      <c r="E153" s="2">
        <v>98.0</v>
      </c>
      <c r="F153" s="3">
        <v>45903.0</v>
      </c>
      <c r="G153" s="3">
        <v>46047.0</v>
      </c>
      <c r="H153" s="2">
        <v>3.1955661E7</v>
      </c>
      <c r="I153" s="2">
        <v>3.1994634E7</v>
      </c>
      <c r="J153" s="2" t="s">
        <v>20</v>
      </c>
      <c r="K153" s="2" t="s">
        <v>21</v>
      </c>
      <c r="L153" s="2">
        <v>104.0</v>
      </c>
      <c r="M153" s="2">
        <v>144.0</v>
      </c>
      <c r="N153" s="2">
        <v>326078.0</v>
      </c>
      <c r="O153" s="4">
        <v>45901.0</v>
      </c>
      <c r="P153" s="2" t="b">
        <v>1</v>
      </c>
      <c r="Q153" s="4">
        <f>IFERROR(__xludf.DUMMYFUNCTION("IF(ISDATE(O153),O153,L153)"),45901.0)</f>
        <v>45901</v>
      </c>
      <c r="R153" s="2">
        <v>104.0</v>
      </c>
      <c r="T153" s="4">
        <v>45901.0</v>
      </c>
    </row>
    <row r="154">
      <c r="A154" s="2" t="s">
        <v>249</v>
      </c>
      <c r="B154" s="2" t="s">
        <v>75</v>
      </c>
      <c r="C154" s="2" t="s">
        <v>40</v>
      </c>
      <c r="D154" s="2" t="s">
        <v>19</v>
      </c>
      <c r="E154" s="2">
        <v>60.0</v>
      </c>
      <c r="F154" s="3">
        <v>45186.0</v>
      </c>
      <c r="G154" s="2">
        <v>1.4858952E7</v>
      </c>
      <c r="H154" s="2" t="s">
        <v>69</v>
      </c>
      <c r="I154" s="2" t="s">
        <v>30</v>
      </c>
      <c r="J154" s="2">
        <v>66.0</v>
      </c>
      <c r="K154" s="2">
        <v>247649.0</v>
      </c>
      <c r="L154" s="4">
        <v>45170.0</v>
      </c>
      <c r="M154" s="2" t="b">
        <v>0</v>
      </c>
      <c r="Q154" s="4">
        <f>IFERROR(__xludf.DUMMYFUNCTION("IF(ISDATE(O154),O154,L154)"),45170.0)</f>
        <v>45170</v>
      </c>
      <c r="R154" s="2">
        <v>66.0</v>
      </c>
      <c r="T154" s="4">
        <v>45170.0</v>
      </c>
    </row>
    <row r="155">
      <c r="A155" s="2" t="s">
        <v>250</v>
      </c>
      <c r="B155" s="2" t="s">
        <v>88</v>
      </c>
      <c r="C155" s="2" t="s">
        <v>57</v>
      </c>
      <c r="D155" s="2" t="s">
        <v>33</v>
      </c>
      <c r="E155" s="2">
        <v>102.0</v>
      </c>
      <c r="F155" s="3">
        <v>44972.0</v>
      </c>
      <c r="G155" s="3">
        <v>45073.0</v>
      </c>
      <c r="H155" s="2">
        <v>3.8365171E7</v>
      </c>
      <c r="I155" s="2">
        <v>3.6370729E7</v>
      </c>
      <c r="J155" s="2" t="s">
        <v>20</v>
      </c>
      <c r="K155" s="2" t="s">
        <v>73</v>
      </c>
      <c r="L155" s="2">
        <v>127.0</v>
      </c>
      <c r="M155" s="2">
        <v>101.0</v>
      </c>
      <c r="N155" s="2">
        <v>376129.0</v>
      </c>
      <c r="O155" s="4">
        <v>44958.0</v>
      </c>
      <c r="P155" s="2" t="b">
        <v>1</v>
      </c>
      <c r="Q155" s="4">
        <f>IFERROR(__xludf.DUMMYFUNCTION("IF(ISDATE(O155),O155,L155)"),44958.0)</f>
        <v>44958</v>
      </c>
      <c r="R155" s="2">
        <v>127.0</v>
      </c>
      <c r="T155" s="4">
        <v>44958.0</v>
      </c>
    </row>
    <row r="156">
      <c r="A156" s="2" t="s">
        <v>251</v>
      </c>
      <c r="B156" s="2" t="s">
        <v>129</v>
      </c>
      <c r="C156" s="2" t="s">
        <v>18</v>
      </c>
      <c r="D156" s="2" t="s">
        <v>102</v>
      </c>
      <c r="E156" s="2">
        <v>108.0</v>
      </c>
      <c r="F156" s="3">
        <v>45227.0</v>
      </c>
      <c r="G156" s="3">
        <v>45293.0</v>
      </c>
      <c r="H156" s="2">
        <v>4.552315E7</v>
      </c>
      <c r="I156" s="2">
        <v>4.4180004E7</v>
      </c>
      <c r="J156" s="2" t="s">
        <v>20</v>
      </c>
      <c r="K156" s="2" t="s">
        <v>30</v>
      </c>
      <c r="L156" s="2">
        <v>136.0</v>
      </c>
      <c r="M156" s="2">
        <v>66.0</v>
      </c>
      <c r="N156" s="2">
        <v>421511.0</v>
      </c>
      <c r="O156" s="6">
        <v>45200.0</v>
      </c>
      <c r="P156" s="2" t="b">
        <v>1</v>
      </c>
      <c r="Q156" s="6">
        <f>IFERROR(__xludf.DUMMYFUNCTION("IF(ISDATE(O156),O156,L156)"),45200.0)</f>
        <v>45200</v>
      </c>
      <c r="R156" s="2">
        <v>136.0</v>
      </c>
      <c r="T156" s="6">
        <v>45200.0</v>
      </c>
    </row>
    <row r="157">
      <c r="A157" s="2" t="s">
        <v>252</v>
      </c>
      <c r="B157" s="2" t="s">
        <v>92</v>
      </c>
      <c r="C157" s="2" t="s">
        <v>24</v>
      </c>
      <c r="D157" s="2" t="s">
        <v>58</v>
      </c>
      <c r="E157" s="2">
        <v>171.0</v>
      </c>
      <c r="F157" s="3">
        <v>45698.0</v>
      </c>
      <c r="G157" s="3">
        <v>45786.0</v>
      </c>
      <c r="H157" s="2">
        <v>1.21383429E8</v>
      </c>
      <c r="I157" s="2">
        <v>1.2683775E8</v>
      </c>
      <c r="J157" s="2" t="s">
        <v>20</v>
      </c>
      <c r="K157" s="2" t="s">
        <v>30</v>
      </c>
      <c r="L157" s="2">
        <v>74.0</v>
      </c>
      <c r="M157" s="2">
        <v>88.0</v>
      </c>
      <c r="N157" s="2">
        <v>709845.0</v>
      </c>
      <c r="O157" s="4">
        <v>45689.0</v>
      </c>
      <c r="P157" s="2" t="b">
        <v>1</v>
      </c>
      <c r="Q157" s="4">
        <f>IFERROR(__xludf.DUMMYFUNCTION("IF(ISDATE(O157),O157,L157)"),45689.0)</f>
        <v>45689</v>
      </c>
      <c r="R157" s="2">
        <v>74.0</v>
      </c>
      <c r="T157" s="4">
        <v>45689.0</v>
      </c>
    </row>
    <row r="158">
      <c r="A158" s="2" t="s">
        <v>253</v>
      </c>
      <c r="B158" s="2" t="s">
        <v>113</v>
      </c>
      <c r="C158" s="2" t="s">
        <v>28</v>
      </c>
      <c r="D158" s="2" t="s">
        <v>67</v>
      </c>
      <c r="E158" s="2">
        <v>38.0</v>
      </c>
      <c r="F158" s="3">
        <v>45377.0</v>
      </c>
      <c r="G158" s="2">
        <v>2.2284747E7</v>
      </c>
      <c r="H158" s="2" t="s">
        <v>69</v>
      </c>
      <c r="I158" s="2" t="s">
        <v>42</v>
      </c>
      <c r="J158" s="2">
        <v>132.0</v>
      </c>
      <c r="K158" s="2">
        <v>586441.0</v>
      </c>
      <c r="L158" s="4">
        <v>45352.0</v>
      </c>
      <c r="M158" s="2" t="b">
        <v>0</v>
      </c>
      <c r="Q158" s="4">
        <f>IFERROR(__xludf.DUMMYFUNCTION("IF(ISDATE(O158),O158,L158)"),45352.0)</f>
        <v>45352</v>
      </c>
      <c r="R158" s="2">
        <v>132.0</v>
      </c>
      <c r="T158" s="4">
        <v>45352.0</v>
      </c>
    </row>
    <row r="159">
      <c r="A159" s="2" t="s">
        <v>254</v>
      </c>
      <c r="B159" s="2" t="s">
        <v>92</v>
      </c>
      <c r="C159" s="2" t="s">
        <v>18</v>
      </c>
      <c r="D159" s="2" t="s">
        <v>67</v>
      </c>
      <c r="E159" s="2">
        <v>41.0</v>
      </c>
      <c r="F159" s="3">
        <v>45671.0</v>
      </c>
      <c r="G159" s="3">
        <v>45796.0</v>
      </c>
      <c r="H159" s="2">
        <v>8767125.0</v>
      </c>
      <c r="I159" s="2">
        <v>9219286.0</v>
      </c>
      <c r="J159" s="2" t="s">
        <v>20</v>
      </c>
      <c r="K159" s="2" t="s">
        <v>25</v>
      </c>
      <c r="L159" s="2">
        <v>80.0</v>
      </c>
      <c r="M159" s="2">
        <v>125.0</v>
      </c>
      <c r="N159" s="2">
        <v>213832.0</v>
      </c>
      <c r="O159" s="4">
        <v>45658.0</v>
      </c>
      <c r="P159" s="2" t="b">
        <v>1</v>
      </c>
      <c r="Q159" s="4">
        <f>IFERROR(__xludf.DUMMYFUNCTION("IF(ISDATE(O159),O159,L159)"),45658.0)</f>
        <v>45658</v>
      </c>
      <c r="R159" s="2">
        <v>80.0</v>
      </c>
      <c r="T159" s="4">
        <v>45658.0</v>
      </c>
    </row>
    <row r="160">
      <c r="A160" s="2" t="s">
        <v>255</v>
      </c>
      <c r="B160" s="2" t="s">
        <v>256</v>
      </c>
      <c r="C160" s="2" t="s">
        <v>24</v>
      </c>
      <c r="D160" s="2" t="s">
        <v>33</v>
      </c>
      <c r="E160" s="2">
        <v>85.0</v>
      </c>
      <c r="F160" s="3">
        <v>45383.0</v>
      </c>
      <c r="G160" s="3">
        <v>45507.0</v>
      </c>
      <c r="H160" s="2">
        <v>5.0645349E7</v>
      </c>
      <c r="I160" s="2">
        <v>5.0190824E7</v>
      </c>
      <c r="J160" s="2" t="s">
        <v>20</v>
      </c>
      <c r="K160" s="2" t="s">
        <v>73</v>
      </c>
      <c r="L160" s="2">
        <v>15.0</v>
      </c>
      <c r="M160" s="2">
        <v>124.0</v>
      </c>
      <c r="N160" s="2">
        <v>595828.0</v>
      </c>
      <c r="O160" s="4">
        <v>45383.0</v>
      </c>
      <c r="P160" s="2" t="b">
        <v>1</v>
      </c>
      <c r="Q160" s="4">
        <f>IFERROR(__xludf.DUMMYFUNCTION("IF(ISDATE(O160),O160,L160)"),45383.0)</f>
        <v>45383</v>
      </c>
      <c r="R160" s="2">
        <v>15.0</v>
      </c>
      <c r="T160" s="4">
        <v>45383.0</v>
      </c>
    </row>
    <row r="161">
      <c r="A161" s="2" t="s">
        <v>257</v>
      </c>
      <c r="B161" s="2" t="s">
        <v>75</v>
      </c>
      <c r="C161" s="2" t="s">
        <v>18</v>
      </c>
      <c r="D161" s="2" t="s">
        <v>67</v>
      </c>
      <c r="E161" s="2">
        <v>44.0</v>
      </c>
      <c r="F161" s="3">
        <v>45581.0</v>
      </c>
      <c r="G161" s="2">
        <v>7589262.0</v>
      </c>
      <c r="H161" s="2" t="s">
        <v>41</v>
      </c>
      <c r="I161" s="2" t="s">
        <v>73</v>
      </c>
      <c r="J161" s="2">
        <v>98.0</v>
      </c>
      <c r="K161" s="2">
        <v>172483.0</v>
      </c>
      <c r="L161" s="6">
        <v>45566.0</v>
      </c>
      <c r="M161" s="2" t="b">
        <v>0</v>
      </c>
      <c r="Q161" s="6">
        <f>IFERROR(__xludf.DUMMYFUNCTION("IF(ISDATE(O161),O161,L161)"),45566.0)</f>
        <v>45566</v>
      </c>
      <c r="R161" s="2">
        <v>98.0</v>
      </c>
      <c r="T161" s="6">
        <v>45566.0</v>
      </c>
    </row>
    <row r="162">
      <c r="A162" s="2" t="s">
        <v>258</v>
      </c>
      <c r="B162" s="2" t="s">
        <v>44</v>
      </c>
      <c r="C162" s="2" t="s">
        <v>64</v>
      </c>
      <c r="D162" s="2" t="s">
        <v>102</v>
      </c>
      <c r="E162" s="2">
        <v>103.0</v>
      </c>
      <c r="F162" s="3">
        <v>45621.0</v>
      </c>
      <c r="G162" s="2">
        <v>5.2172255E7</v>
      </c>
      <c r="H162" s="2" t="s">
        <v>41</v>
      </c>
      <c r="I162" s="2" t="s">
        <v>42</v>
      </c>
      <c r="J162" s="2">
        <v>170.0</v>
      </c>
      <c r="K162" s="2">
        <v>506527.0</v>
      </c>
      <c r="L162" s="6">
        <v>45597.0</v>
      </c>
      <c r="M162" s="2" t="b">
        <v>0</v>
      </c>
      <c r="Q162" s="6">
        <f>IFERROR(__xludf.DUMMYFUNCTION("IF(ISDATE(O162),O162,L162)"),45597.0)</f>
        <v>45597</v>
      </c>
      <c r="R162" s="2">
        <v>170.0</v>
      </c>
      <c r="T162" s="6">
        <v>45597.0</v>
      </c>
    </row>
    <row r="163">
      <c r="A163" s="2" t="s">
        <v>259</v>
      </c>
      <c r="B163" s="2" t="s">
        <v>204</v>
      </c>
      <c r="C163" s="2" t="s">
        <v>24</v>
      </c>
      <c r="D163" s="2" t="s">
        <v>49</v>
      </c>
      <c r="E163" s="2">
        <v>293.0</v>
      </c>
      <c r="F163" s="3">
        <v>45546.0</v>
      </c>
      <c r="G163" s="3">
        <v>45676.0</v>
      </c>
      <c r="H163" s="2">
        <v>3.27829427E8</v>
      </c>
      <c r="I163" s="2">
        <v>3.21116182E8</v>
      </c>
      <c r="J163" s="2" t="s">
        <v>20</v>
      </c>
      <c r="K163" s="2" t="s">
        <v>21</v>
      </c>
      <c r="L163" s="2">
        <v>151.0</v>
      </c>
      <c r="M163" s="2">
        <v>130.0</v>
      </c>
      <c r="N163" s="2">
        <v>1118872.0</v>
      </c>
      <c r="O163" s="4">
        <v>45536.0</v>
      </c>
      <c r="P163" s="2" t="b">
        <v>1</v>
      </c>
      <c r="Q163" s="4">
        <f>IFERROR(__xludf.DUMMYFUNCTION("IF(ISDATE(O163),O163,L163)"),45536.0)</f>
        <v>45536</v>
      </c>
      <c r="R163" s="2">
        <v>151.0</v>
      </c>
      <c r="T163" s="4">
        <v>45536.0</v>
      </c>
    </row>
    <row r="164">
      <c r="A164" s="2" t="s">
        <v>260</v>
      </c>
      <c r="B164" s="2" t="s">
        <v>142</v>
      </c>
      <c r="C164" s="2" t="s">
        <v>28</v>
      </c>
      <c r="D164" s="2" t="s">
        <v>67</v>
      </c>
      <c r="E164" s="2">
        <v>37.0</v>
      </c>
      <c r="F164" s="3">
        <v>45212.0</v>
      </c>
      <c r="G164" s="3">
        <v>45256.0</v>
      </c>
      <c r="H164" s="2">
        <v>1.8940942E7</v>
      </c>
      <c r="I164" s="2">
        <v>1.7989494E7</v>
      </c>
      <c r="J164" s="2" t="s">
        <v>20</v>
      </c>
      <c r="K164" s="2" t="s">
        <v>25</v>
      </c>
      <c r="L164" s="2">
        <v>104.0</v>
      </c>
      <c r="M164" s="2">
        <v>44.0</v>
      </c>
      <c r="N164" s="2">
        <v>511917.0</v>
      </c>
      <c r="O164" s="6">
        <v>45200.0</v>
      </c>
      <c r="P164" s="2" t="b">
        <v>1</v>
      </c>
      <c r="Q164" s="6">
        <f>IFERROR(__xludf.DUMMYFUNCTION("IF(ISDATE(O164),O164,L164)"),45200.0)</f>
        <v>45200</v>
      </c>
      <c r="R164" s="2">
        <v>104.0</v>
      </c>
      <c r="T164" s="6">
        <v>45200.0</v>
      </c>
    </row>
    <row r="165">
      <c r="A165" s="2" t="s">
        <v>261</v>
      </c>
      <c r="B165" s="2" t="s">
        <v>220</v>
      </c>
      <c r="C165" s="2" t="s">
        <v>93</v>
      </c>
      <c r="D165" s="2" t="s">
        <v>33</v>
      </c>
      <c r="E165" s="2">
        <v>81.0</v>
      </c>
      <c r="F165" s="3">
        <v>45383.0</v>
      </c>
      <c r="G165" s="3">
        <v>45554.0</v>
      </c>
      <c r="H165" s="2">
        <v>2.3430807E7</v>
      </c>
      <c r="I165" s="2">
        <v>2.4992156E7</v>
      </c>
      <c r="J165" s="2" t="s">
        <v>20</v>
      </c>
      <c r="K165" s="2" t="s">
        <v>73</v>
      </c>
      <c r="L165" s="2">
        <v>56.0</v>
      </c>
      <c r="M165" s="2">
        <v>171.0</v>
      </c>
      <c r="N165" s="2">
        <v>289269.0</v>
      </c>
      <c r="O165" s="4">
        <v>45383.0</v>
      </c>
      <c r="P165" s="2" t="b">
        <v>1</v>
      </c>
      <c r="Q165" s="4">
        <f>IFERROR(__xludf.DUMMYFUNCTION("IF(ISDATE(O165),O165,L165)"),45383.0)</f>
        <v>45383</v>
      </c>
      <c r="R165" s="2">
        <v>56.0</v>
      </c>
      <c r="T165" s="4">
        <v>45383.0</v>
      </c>
    </row>
    <row r="166">
      <c r="A166" s="2" t="s">
        <v>262</v>
      </c>
      <c r="B166" s="2" t="s">
        <v>71</v>
      </c>
      <c r="C166" s="2" t="s">
        <v>28</v>
      </c>
      <c r="D166" s="2" t="s">
        <v>33</v>
      </c>
      <c r="E166" s="2">
        <v>93.0</v>
      </c>
      <c r="F166" s="3">
        <v>45382.0</v>
      </c>
      <c r="G166" s="2">
        <v>9.7786786E7</v>
      </c>
      <c r="H166" s="2" t="s">
        <v>34</v>
      </c>
      <c r="I166" s="2" t="s">
        <v>30</v>
      </c>
      <c r="J166" s="2">
        <v>175.0</v>
      </c>
      <c r="K166" s="2">
        <v>1051471.0</v>
      </c>
      <c r="L166" s="4">
        <v>45352.0</v>
      </c>
      <c r="M166" s="2" t="b">
        <v>0</v>
      </c>
      <c r="Q166" s="4">
        <f>IFERROR(__xludf.DUMMYFUNCTION("IF(ISDATE(O166),O166,L166)"),45352.0)</f>
        <v>45352</v>
      </c>
      <c r="R166" s="2">
        <v>175.0</v>
      </c>
      <c r="T166" s="4">
        <v>45352.0</v>
      </c>
    </row>
    <row r="167">
      <c r="A167" s="2" t="s">
        <v>263</v>
      </c>
      <c r="B167" s="2" t="s">
        <v>201</v>
      </c>
      <c r="C167" s="2" t="s">
        <v>24</v>
      </c>
      <c r="D167" s="2" t="s">
        <v>33</v>
      </c>
      <c r="E167" s="2">
        <v>100.0</v>
      </c>
      <c r="F167" s="3">
        <v>45839.0</v>
      </c>
      <c r="G167" s="3">
        <v>45894.0</v>
      </c>
      <c r="H167" s="2">
        <v>7.3757036E7</v>
      </c>
      <c r="I167" s="2">
        <v>7.8799945E7</v>
      </c>
      <c r="J167" s="2" t="s">
        <v>20</v>
      </c>
      <c r="K167" s="2" t="s">
        <v>42</v>
      </c>
      <c r="L167" s="2">
        <v>97.0</v>
      </c>
      <c r="M167" s="2">
        <v>55.0</v>
      </c>
      <c r="N167" s="2">
        <v>737570.0</v>
      </c>
      <c r="O167" s="4">
        <v>45839.0</v>
      </c>
      <c r="P167" s="2" t="b">
        <v>1</v>
      </c>
      <c r="Q167" s="4">
        <f>IFERROR(__xludf.DUMMYFUNCTION("IF(ISDATE(O167),O167,L167)"),45839.0)</f>
        <v>45839</v>
      </c>
      <c r="R167" s="2">
        <v>97.0</v>
      </c>
      <c r="T167" s="4">
        <v>45839.0</v>
      </c>
    </row>
    <row r="168">
      <c r="A168" s="2" t="s">
        <v>264</v>
      </c>
      <c r="B168" s="2" t="s">
        <v>265</v>
      </c>
      <c r="C168" s="2" t="s">
        <v>64</v>
      </c>
      <c r="D168" s="2" t="s">
        <v>33</v>
      </c>
      <c r="E168" s="2">
        <v>77.0</v>
      </c>
      <c r="F168" s="3">
        <v>45736.0</v>
      </c>
      <c r="G168" s="3">
        <v>45843.0</v>
      </c>
      <c r="H168" s="2">
        <v>3.7131237E7</v>
      </c>
      <c r="I168" s="2">
        <v>3.6352438E7</v>
      </c>
      <c r="J168" s="2" t="s">
        <v>20</v>
      </c>
      <c r="K168" s="2" t="s">
        <v>25</v>
      </c>
      <c r="L168" s="2">
        <v>38.0</v>
      </c>
      <c r="M168" s="2">
        <v>107.0</v>
      </c>
      <c r="N168" s="2">
        <v>482224.0</v>
      </c>
      <c r="O168" s="4">
        <v>45717.0</v>
      </c>
      <c r="P168" s="2" t="b">
        <v>1</v>
      </c>
      <c r="Q168" s="4">
        <f>IFERROR(__xludf.DUMMYFUNCTION("IF(ISDATE(O168),O168,L168)"),45717.0)</f>
        <v>45717</v>
      </c>
      <c r="R168" s="2">
        <v>38.0</v>
      </c>
      <c r="T168" s="4">
        <v>45717.0</v>
      </c>
    </row>
    <row r="169">
      <c r="A169" s="2" t="s">
        <v>266</v>
      </c>
      <c r="B169" s="2" t="s">
        <v>39</v>
      </c>
      <c r="C169" s="2" t="s">
        <v>64</v>
      </c>
      <c r="D169" s="2" t="s">
        <v>33</v>
      </c>
      <c r="E169" s="2">
        <v>69.0</v>
      </c>
      <c r="F169" s="3">
        <v>45661.0</v>
      </c>
      <c r="G169" s="2">
        <v>3.1494575E7</v>
      </c>
      <c r="H169" s="2" t="s">
        <v>34</v>
      </c>
      <c r="I169" s="2" t="s">
        <v>73</v>
      </c>
      <c r="J169" s="2">
        <v>152.0</v>
      </c>
      <c r="K169" s="2">
        <v>456443.0</v>
      </c>
      <c r="L169" s="4">
        <v>45658.0</v>
      </c>
      <c r="M169" s="2" t="b">
        <v>0</v>
      </c>
      <c r="Q169" s="4">
        <f>IFERROR(__xludf.DUMMYFUNCTION("IF(ISDATE(O169),O169,L169)"),45658.0)</f>
        <v>45658</v>
      </c>
      <c r="R169" s="2">
        <v>152.0</v>
      </c>
      <c r="T169" s="4">
        <v>45658.0</v>
      </c>
    </row>
    <row r="170">
      <c r="A170" s="2" t="s">
        <v>267</v>
      </c>
      <c r="B170" s="2" t="s">
        <v>178</v>
      </c>
      <c r="C170" s="2" t="s">
        <v>28</v>
      </c>
      <c r="D170" s="2" t="s">
        <v>67</v>
      </c>
      <c r="E170" s="2">
        <v>45.0</v>
      </c>
      <c r="F170" s="3">
        <v>45404.0</v>
      </c>
      <c r="G170" s="2">
        <v>2.4133213E7</v>
      </c>
      <c r="H170" s="2" t="s">
        <v>69</v>
      </c>
      <c r="I170" s="2" t="s">
        <v>25</v>
      </c>
      <c r="J170" s="2">
        <v>168.0</v>
      </c>
      <c r="K170" s="2">
        <v>536294.0</v>
      </c>
      <c r="L170" s="4">
        <v>45383.0</v>
      </c>
      <c r="M170" s="2" t="b">
        <v>0</v>
      </c>
      <c r="Q170" s="4">
        <f>IFERROR(__xludf.DUMMYFUNCTION("IF(ISDATE(O170),O170,L170)"),45383.0)</f>
        <v>45383</v>
      </c>
      <c r="R170" s="2">
        <v>168.0</v>
      </c>
      <c r="T170" s="4">
        <v>45383.0</v>
      </c>
    </row>
    <row r="171">
      <c r="A171" s="2" t="s">
        <v>268</v>
      </c>
      <c r="B171" s="2" t="s">
        <v>60</v>
      </c>
      <c r="C171" s="2" t="s">
        <v>64</v>
      </c>
      <c r="D171" s="2" t="s">
        <v>102</v>
      </c>
      <c r="E171" s="2">
        <v>155.0</v>
      </c>
      <c r="F171" s="3">
        <v>45778.0</v>
      </c>
      <c r="G171" s="3">
        <v>45832.0</v>
      </c>
      <c r="H171" s="2">
        <v>8.4715718E7</v>
      </c>
      <c r="I171" s="2">
        <v>8.0133844E7</v>
      </c>
      <c r="J171" s="2" t="s">
        <v>20</v>
      </c>
      <c r="K171" s="2" t="s">
        <v>42</v>
      </c>
      <c r="L171" s="2">
        <v>93.0</v>
      </c>
      <c r="M171" s="2">
        <v>54.0</v>
      </c>
      <c r="N171" s="2">
        <v>546553.0</v>
      </c>
      <c r="O171" s="4">
        <v>45778.0</v>
      </c>
      <c r="P171" s="2" t="b">
        <v>1</v>
      </c>
      <c r="Q171" s="4">
        <f>IFERROR(__xludf.DUMMYFUNCTION("IF(ISDATE(O171),O171,L171)"),45778.0)</f>
        <v>45778</v>
      </c>
      <c r="R171" s="2">
        <v>93.0</v>
      </c>
      <c r="T171" s="4">
        <v>45778.0</v>
      </c>
    </row>
    <row r="172">
      <c r="A172" s="2" t="s">
        <v>269</v>
      </c>
      <c r="B172" s="2" t="s">
        <v>92</v>
      </c>
      <c r="C172" s="2" t="s">
        <v>93</v>
      </c>
      <c r="D172" s="2" t="s">
        <v>58</v>
      </c>
      <c r="E172" s="2">
        <v>279.0</v>
      </c>
      <c r="F172" s="3">
        <v>45183.0</v>
      </c>
      <c r="G172" s="3">
        <v>45339.0</v>
      </c>
      <c r="H172" s="2">
        <v>8.8366982E7</v>
      </c>
      <c r="I172" s="2">
        <v>9.0134637E7</v>
      </c>
      <c r="J172" s="2" t="s">
        <v>20</v>
      </c>
      <c r="K172" s="2" t="s">
        <v>25</v>
      </c>
      <c r="L172" s="2">
        <v>141.0</v>
      </c>
      <c r="M172" s="2">
        <v>156.0</v>
      </c>
      <c r="N172" s="2">
        <v>316728.0</v>
      </c>
      <c r="O172" s="4">
        <v>45170.0</v>
      </c>
      <c r="P172" s="2" t="b">
        <v>1</v>
      </c>
      <c r="Q172" s="4">
        <f>IFERROR(__xludf.DUMMYFUNCTION("IF(ISDATE(O172),O172,L172)"),45170.0)</f>
        <v>45170</v>
      </c>
      <c r="R172" s="2">
        <v>141.0</v>
      </c>
      <c r="T172" s="4">
        <v>45170.0</v>
      </c>
    </row>
    <row r="173">
      <c r="A173" s="2" t="s">
        <v>270</v>
      </c>
      <c r="B173" s="2" t="s">
        <v>135</v>
      </c>
      <c r="C173" s="2" t="s">
        <v>28</v>
      </c>
      <c r="D173" s="2" t="s">
        <v>102</v>
      </c>
      <c r="E173" s="2">
        <v>175.0</v>
      </c>
      <c r="F173" s="3">
        <v>45102.0</v>
      </c>
      <c r="G173" s="3">
        <v>45301.0</v>
      </c>
      <c r="H173" s="2">
        <v>2.25133191E8</v>
      </c>
      <c r="I173" s="2">
        <v>2.19284035E8</v>
      </c>
      <c r="J173" s="2" t="s">
        <v>20</v>
      </c>
      <c r="K173" s="2" t="s">
        <v>25</v>
      </c>
      <c r="L173" s="2">
        <v>15.0</v>
      </c>
      <c r="M173" s="2">
        <v>199.0</v>
      </c>
      <c r="N173" s="2">
        <v>1286475.0</v>
      </c>
      <c r="O173" s="4">
        <v>45078.0</v>
      </c>
      <c r="P173" s="2" t="b">
        <v>1</v>
      </c>
      <c r="Q173" s="4">
        <f>IFERROR(__xludf.DUMMYFUNCTION("IF(ISDATE(O173),O173,L173)"),45078.0)</f>
        <v>45078</v>
      </c>
      <c r="R173" s="2">
        <v>15.0</v>
      </c>
      <c r="T173" s="4">
        <v>45078.0</v>
      </c>
    </row>
    <row r="174">
      <c r="A174" s="2" t="s">
        <v>271</v>
      </c>
      <c r="B174" s="2" t="s">
        <v>78</v>
      </c>
      <c r="C174" s="2" t="s">
        <v>57</v>
      </c>
      <c r="D174" s="2" t="s">
        <v>19</v>
      </c>
      <c r="E174" s="2">
        <v>42.0</v>
      </c>
      <c r="F174" s="3">
        <v>45716.0</v>
      </c>
      <c r="G174" s="3">
        <v>45897.0</v>
      </c>
      <c r="H174" s="2">
        <v>1.0673709E7</v>
      </c>
      <c r="I174" s="2">
        <v>1.0796904E7</v>
      </c>
      <c r="J174" s="2" t="s">
        <v>20</v>
      </c>
      <c r="K174" s="2" t="s">
        <v>25</v>
      </c>
      <c r="L174" s="2">
        <v>168.0</v>
      </c>
      <c r="M174" s="2">
        <v>181.0</v>
      </c>
      <c r="N174" s="2">
        <v>254136.0</v>
      </c>
      <c r="O174" s="4">
        <v>45689.0</v>
      </c>
      <c r="P174" s="2" t="b">
        <v>1</v>
      </c>
      <c r="Q174" s="4">
        <f>IFERROR(__xludf.DUMMYFUNCTION("IF(ISDATE(O174),O174,L174)"),45689.0)</f>
        <v>45689</v>
      </c>
      <c r="R174" s="2">
        <v>168.0</v>
      </c>
      <c r="T174" s="4">
        <v>45689.0</v>
      </c>
    </row>
    <row r="175">
      <c r="A175" s="2" t="s">
        <v>272</v>
      </c>
      <c r="B175" s="2" t="s">
        <v>39</v>
      </c>
      <c r="C175" s="2" t="s">
        <v>28</v>
      </c>
      <c r="D175" s="2" t="s">
        <v>58</v>
      </c>
      <c r="E175" s="2">
        <v>124.0</v>
      </c>
      <c r="F175" s="3">
        <v>45177.0</v>
      </c>
      <c r="G175" s="2">
        <v>1.17381947E8</v>
      </c>
      <c r="H175" s="2" t="s">
        <v>34</v>
      </c>
      <c r="I175" s="2" t="s">
        <v>73</v>
      </c>
      <c r="J175" s="2">
        <v>23.0</v>
      </c>
      <c r="K175" s="2">
        <v>946629.0</v>
      </c>
      <c r="L175" s="4">
        <v>45170.0</v>
      </c>
      <c r="M175" s="2" t="b">
        <v>0</v>
      </c>
      <c r="Q175" s="4">
        <f>IFERROR(__xludf.DUMMYFUNCTION("IF(ISDATE(O175),O175,L175)"),45170.0)</f>
        <v>45170</v>
      </c>
      <c r="R175" s="2">
        <v>23.0</v>
      </c>
      <c r="T175" s="4">
        <v>45170.0</v>
      </c>
    </row>
    <row r="176">
      <c r="A176" s="2" t="s">
        <v>273</v>
      </c>
      <c r="B176" s="2" t="s">
        <v>119</v>
      </c>
      <c r="C176" s="2" t="s">
        <v>18</v>
      </c>
      <c r="D176" s="2" t="s">
        <v>102</v>
      </c>
      <c r="E176" s="2">
        <v>156.0</v>
      </c>
      <c r="F176" s="3">
        <v>45402.0</v>
      </c>
      <c r="G176" s="3">
        <v>45572.0</v>
      </c>
      <c r="H176" s="2">
        <v>4.9547724E7</v>
      </c>
      <c r="I176" s="2">
        <v>5.2413446E7</v>
      </c>
      <c r="J176" s="2" t="s">
        <v>20</v>
      </c>
      <c r="K176" s="2" t="s">
        <v>30</v>
      </c>
      <c r="L176" s="2">
        <v>93.0</v>
      </c>
      <c r="M176" s="2">
        <v>170.0</v>
      </c>
      <c r="N176" s="2">
        <v>317614.0</v>
      </c>
      <c r="O176" s="4">
        <v>45383.0</v>
      </c>
      <c r="P176" s="2" t="b">
        <v>1</v>
      </c>
      <c r="Q176" s="4">
        <f>IFERROR(__xludf.DUMMYFUNCTION("IF(ISDATE(O176),O176,L176)"),45383.0)</f>
        <v>45383</v>
      </c>
      <c r="R176" s="2">
        <v>93.0</v>
      </c>
      <c r="T176" s="4">
        <v>45383.0</v>
      </c>
    </row>
    <row r="177">
      <c r="A177" s="2" t="s">
        <v>274</v>
      </c>
      <c r="B177" s="2" t="s">
        <v>275</v>
      </c>
      <c r="C177" s="2" t="s">
        <v>101</v>
      </c>
      <c r="D177" s="2" t="s">
        <v>102</v>
      </c>
      <c r="E177" s="2">
        <v>147.0</v>
      </c>
      <c r="F177" s="3">
        <v>45035.0</v>
      </c>
      <c r="G177" s="3">
        <v>45169.0</v>
      </c>
      <c r="H177" s="2">
        <v>4.4602072E7</v>
      </c>
      <c r="I177" s="2">
        <v>4.4242372E7</v>
      </c>
      <c r="J177" s="2" t="s">
        <v>20</v>
      </c>
      <c r="K177" s="2" t="s">
        <v>42</v>
      </c>
      <c r="L177" s="2">
        <v>29.0</v>
      </c>
      <c r="M177" s="2">
        <v>134.0</v>
      </c>
      <c r="N177" s="2">
        <v>303415.0</v>
      </c>
      <c r="O177" s="4">
        <v>45017.0</v>
      </c>
      <c r="P177" s="2" t="b">
        <v>1</v>
      </c>
      <c r="Q177" s="4">
        <f>IFERROR(__xludf.DUMMYFUNCTION("IF(ISDATE(O177),O177,L177)"),45017.0)</f>
        <v>45017</v>
      </c>
      <c r="R177" s="2">
        <v>29.0</v>
      </c>
      <c r="T177" s="4">
        <v>45017.0</v>
      </c>
    </row>
    <row r="178">
      <c r="A178" s="2" t="s">
        <v>276</v>
      </c>
      <c r="B178" s="2" t="s">
        <v>208</v>
      </c>
      <c r="C178" s="2" t="s">
        <v>28</v>
      </c>
      <c r="D178" s="2" t="s">
        <v>49</v>
      </c>
      <c r="E178" s="2">
        <v>271.0</v>
      </c>
      <c r="F178" s="3">
        <v>45181.0</v>
      </c>
      <c r="G178" s="2">
        <v>3.79051888E8</v>
      </c>
      <c r="H178" s="2" t="s">
        <v>41</v>
      </c>
      <c r="I178" s="2" t="s">
        <v>25</v>
      </c>
      <c r="J178" s="2">
        <v>85.0</v>
      </c>
      <c r="K178" s="2">
        <v>1398715.0</v>
      </c>
      <c r="L178" s="4">
        <v>45170.0</v>
      </c>
      <c r="M178" s="2" t="b">
        <v>0</v>
      </c>
      <c r="Q178" s="4">
        <f>IFERROR(__xludf.DUMMYFUNCTION("IF(ISDATE(O178),O178,L178)"),45170.0)</f>
        <v>45170</v>
      </c>
      <c r="R178" s="2">
        <v>85.0</v>
      </c>
      <c r="T178" s="4">
        <v>45170.0</v>
      </c>
    </row>
    <row r="179">
      <c r="A179" s="2" t="s">
        <v>277</v>
      </c>
      <c r="B179" s="2" t="s">
        <v>66</v>
      </c>
      <c r="C179" s="2" t="s">
        <v>28</v>
      </c>
      <c r="D179" s="2" t="s">
        <v>102</v>
      </c>
      <c r="E179" s="2">
        <v>163.0</v>
      </c>
      <c r="F179" s="3">
        <v>45437.0</v>
      </c>
      <c r="G179" s="2">
        <v>1.48814913E8</v>
      </c>
      <c r="H179" s="2" t="s">
        <v>69</v>
      </c>
      <c r="I179" s="2" t="s">
        <v>73</v>
      </c>
      <c r="J179" s="2">
        <v>134.0</v>
      </c>
      <c r="K179" s="2">
        <v>912975.0</v>
      </c>
      <c r="L179" s="4">
        <v>45413.0</v>
      </c>
      <c r="M179" s="2" t="b">
        <v>0</v>
      </c>
      <c r="Q179" s="4">
        <f>IFERROR(__xludf.DUMMYFUNCTION("IF(ISDATE(O179),O179,L179)"),45413.0)</f>
        <v>45413</v>
      </c>
      <c r="R179" s="2">
        <v>134.0</v>
      </c>
      <c r="T179" s="4">
        <v>45413.0</v>
      </c>
    </row>
    <row r="180">
      <c r="A180" s="2" t="s">
        <v>278</v>
      </c>
      <c r="B180" s="2" t="s">
        <v>36</v>
      </c>
      <c r="C180" s="2" t="s">
        <v>64</v>
      </c>
      <c r="D180" s="2" t="s">
        <v>72</v>
      </c>
      <c r="E180" s="2">
        <v>235.0</v>
      </c>
      <c r="F180" s="3">
        <v>44976.0</v>
      </c>
      <c r="G180" s="3">
        <v>45117.0</v>
      </c>
      <c r="H180" s="2">
        <v>2.07292579E8</v>
      </c>
      <c r="I180" s="2">
        <v>2.18663809E8</v>
      </c>
      <c r="J180" s="2" t="s">
        <v>20</v>
      </c>
      <c r="K180" s="2" t="s">
        <v>73</v>
      </c>
      <c r="L180" s="2">
        <v>78.0</v>
      </c>
      <c r="M180" s="2">
        <v>141.0</v>
      </c>
      <c r="N180" s="2">
        <v>882096.0</v>
      </c>
      <c r="O180" s="4">
        <v>44958.0</v>
      </c>
      <c r="P180" s="2" t="b">
        <v>1</v>
      </c>
      <c r="Q180" s="4">
        <f>IFERROR(__xludf.DUMMYFUNCTION("IF(ISDATE(O180),O180,L180)"),44958.0)</f>
        <v>44958</v>
      </c>
      <c r="R180" s="2">
        <v>78.0</v>
      </c>
      <c r="T180" s="4">
        <v>44958.0</v>
      </c>
    </row>
    <row r="181">
      <c r="A181" s="2" t="s">
        <v>279</v>
      </c>
      <c r="B181" s="2" t="s">
        <v>160</v>
      </c>
      <c r="C181" s="2" t="s">
        <v>64</v>
      </c>
      <c r="D181" s="2" t="s">
        <v>33</v>
      </c>
      <c r="E181" s="2">
        <v>92.0</v>
      </c>
      <c r="F181" s="3">
        <v>45671.0</v>
      </c>
      <c r="G181" s="3">
        <v>45789.0</v>
      </c>
      <c r="H181" s="2">
        <v>4.1249922E7</v>
      </c>
      <c r="I181" s="2">
        <v>4.0593761E7</v>
      </c>
      <c r="J181" s="2" t="s">
        <v>20</v>
      </c>
      <c r="K181" s="2" t="s">
        <v>25</v>
      </c>
      <c r="L181" s="2">
        <v>148.0</v>
      </c>
      <c r="M181" s="2">
        <v>118.0</v>
      </c>
      <c r="N181" s="2">
        <v>448369.0</v>
      </c>
      <c r="O181" s="4">
        <v>45658.0</v>
      </c>
      <c r="P181" s="2" t="b">
        <v>1</v>
      </c>
      <c r="Q181" s="4">
        <f>IFERROR(__xludf.DUMMYFUNCTION("IF(ISDATE(O181),O181,L181)"),45658.0)</f>
        <v>45658</v>
      </c>
      <c r="R181" s="2">
        <v>148.0</v>
      </c>
      <c r="T181" s="4">
        <v>45658.0</v>
      </c>
    </row>
    <row r="182">
      <c r="A182" s="2" t="s">
        <v>280</v>
      </c>
      <c r="B182" s="2" t="s">
        <v>178</v>
      </c>
      <c r="C182" s="2" t="s">
        <v>28</v>
      </c>
      <c r="D182" s="2" t="s">
        <v>58</v>
      </c>
      <c r="E182" s="2">
        <v>123.0</v>
      </c>
      <c r="F182" s="3">
        <v>45443.0</v>
      </c>
      <c r="G182" s="3">
        <v>45598.0</v>
      </c>
      <c r="H182" s="2">
        <v>1.1062196E8</v>
      </c>
      <c r="I182" s="2">
        <v>1.19278627E8</v>
      </c>
      <c r="J182" s="2" t="s">
        <v>20</v>
      </c>
      <c r="K182" s="2" t="s">
        <v>25</v>
      </c>
      <c r="L182" s="2">
        <v>35.0</v>
      </c>
      <c r="M182" s="2">
        <v>155.0</v>
      </c>
      <c r="N182" s="2">
        <v>899366.0</v>
      </c>
      <c r="O182" s="4">
        <v>45413.0</v>
      </c>
      <c r="P182" s="2" t="b">
        <v>1</v>
      </c>
      <c r="Q182" s="4">
        <f>IFERROR(__xludf.DUMMYFUNCTION("IF(ISDATE(O182),O182,L182)"),45413.0)</f>
        <v>45413</v>
      </c>
      <c r="R182" s="2">
        <v>35.0</v>
      </c>
      <c r="T182" s="4">
        <v>45413.0</v>
      </c>
    </row>
    <row r="183">
      <c r="A183" s="2" t="s">
        <v>281</v>
      </c>
      <c r="B183" s="2" t="s">
        <v>106</v>
      </c>
      <c r="C183" s="2" t="s">
        <v>28</v>
      </c>
      <c r="D183" s="2" t="s">
        <v>33</v>
      </c>
      <c r="E183" s="2">
        <v>90.0</v>
      </c>
      <c r="F183" s="3">
        <v>45498.0</v>
      </c>
      <c r="G183" s="2">
        <v>7.1116171E7</v>
      </c>
      <c r="H183" s="2" t="s">
        <v>41</v>
      </c>
      <c r="I183" s="2" t="s">
        <v>25</v>
      </c>
      <c r="J183" s="2">
        <v>107.0</v>
      </c>
      <c r="K183" s="2">
        <v>790180.0</v>
      </c>
      <c r="L183" s="4">
        <v>45474.0</v>
      </c>
      <c r="M183" s="2" t="b">
        <v>0</v>
      </c>
      <c r="Q183" s="4">
        <f>IFERROR(__xludf.DUMMYFUNCTION("IF(ISDATE(O183),O183,L183)"),45474.0)</f>
        <v>45474</v>
      </c>
      <c r="R183" s="2">
        <v>107.0</v>
      </c>
      <c r="T183" s="4">
        <v>45474.0</v>
      </c>
    </row>
    <row r="184">
      <c r="A184" s="2" t="s">
        <v>282</v>
      </c>
      <c r="B184" s="2" t="s">
        <v>71</v>
      </c>
      <c r="C184" s="2" t="s">
        <v>64</v>
      </c>
      <c r="D184" s="2" t="s">
        <v>19</v>
      </c>
      <c r="E184" s="2">
        <v>41.0</v>
      </c>
      <c r="F184" s="3">
        <v>45268.0</v>
      </c>
      <c r="G184" s="2">
        <v>1.6196814E7</v>
      </c>
      <c r="H184" s="2" t="s">
        <v>34</v>
      </c>
      <c r="I184" s="2" t="s">
        <v>25</v>
      </c>
      <c r="J184" s="2">
        <v>136.0</v>
      </c>
      <c r="K184" s="2">
        <v>395044.0</v>
      </c>
      <c r="L184" s="6">
        <v>45261.0</v>
      </c>
      <c r="M184" s="2" t="b">
        <v>0</v>
      </c>
      <c r="Q184" s="6">
        <f>IFERROR(__xludf.DUMMYFUNCTION("IF(ISDATE(O184),O184,L184)"),45261.0)</f>
        <v>45261</v>
      </c>
      <c r="R184" s="2">
        <v>136.0</v>
      </c>
      <c r="T184" s="6">
        <v>45261.0</v>
      </c>
    </row>
    <row r="185">
      <c r="A185" s="2" t="s">
        <v>283</v>
      </c>
      <c r="B185" s="2" t="s">
        <v>284</v>
      </c>
      <c r="C185" s="2" t="s">
        <v>28</v>
      </c>
      <c r="D185" s="2" t="s">
        <v>29</v>
      </c>
      <c r="E185" s="2">
        <v>3009.0</v>
      </c>
      <c r="F185" s="3">
        <v>45941.0</v>
      </c>
      <c r="G185" s="3">
        <v>46032.0</v>
      </c>
      <c r="H185" s="2">
        <v>1.2516383E9</v>
      </c>
      <c r="I185" s="2">
        <v>1.253103214E9</v>
      </c>
      <c r="J185" s="2" t="s">
        <v>20</v>
      </c>
      <c r="K185" s="2" t="s">
        <v>25</v>
      </c>
      <c r="L185" s="2">
        <v>141.0</v>
      </c>
      <c r="M185" s="2">
        <v>91.0</v>
      </c>
      <c r="N185" s="2">
        <v>415965.0</v>
      </c>
      <c r="O185" s="6">
        <v>45931.0</v>
      </c>
      <c r="P185" s="2" t="b">
        <v>1</v>
      </c>
      <c r="Q185" s="6">
        <f>IFERROR(__xludf.DUMMYFUNCTION("IF(ISDATE(O185),O185,L185)"),45931.0)</f>
        <v>45931</v>
      </c>
      <c r="R185" s="2">
        <v>141.0</v>
      </c>
      <c r="T185" s="6">
        <v>45931.0</v>
      </c>
    </row>
    <row r="186">
      <c r="A186" s="2" t="s">
        <v>285</v>
      </c>
      <c r="B186" s="2" t="s">
        <v>129</v>
      </c>
      <c r="C186" s="2" t="s">
        <v>64</v>
      </c>
      <c r="D186" s="2" t="s">
        <v>29</v>
      </c>
      <c r="E186" s="2">
        <v>2855.0</v>
      </c>
      <c r="F186" s="3">
        <v>45304.0</v>
      </c>
      <c r="G186" s="3">
        <v>45347.0</v>
      </c>
      <c r="H186" s="2">
        <v>7.18023194E8</v>
      </c>
      <c r="I186" s="2">
        <v>7.27639206E8</v>
      </c>
      <c r="J186" s="2" t="s">
        <v>20</v>
      </c>
      <c r="K186" s="2" t="s">
        <v>21</v>
      </c>
      <c r="L186" s="2">
        <v>157.0</v>
      </c>
      <c r="M186" s="2">
        <v>43.0</v>
      </c>
      <c r="N186" s="2">
        <v>251497.0</v>
      </c>
      <c r="O186" s="4">
        <v>45292.0</v>
      </c>
      <c r="P186" s="2" t="b">
        <v>1</v>
      </c>
      <c r="Q186" s="4">
        <f>IFERROR(__xludf.DUMMYFUNCTION("IF(ISDATE(O186),O186,L186)"),45292.0)</f>
        <v>45292</v>
      </c>
      <c r="R186" s="2">
        <v>157.0</v>
      </c>
      <c r="T186" s="4">
        <v>45292.0</v>
      </c>
    </row>
    <row r="187">
      <c r="A187" s="2" t="s">
        <v>286</v>
      </c>
      <c r="B187" s="2" t="s">
        <v>121</v>
      </c>
      <c r="C187" s="2" t="s">
        <v>64</v>
      </c>
      <c r="D187" s="2" t="s">
        <v>29</v>
      </c>
      <c r="E187" s="2">
        <v>2264.0</v>
      </c>
      <c r="F187" s="3">
        <v>45418.0</v>
      </c>
      <c r="G187" s="3">
        <v>45594.0</v>
      </c>
      <c r="H187" s="2">
        <v>5.21944393E8</v>
      </c>
      <c r="I187" s="2">
        <v>5.44877053E8</v>
      </c>
      <c r="J187" s="2" t="s">
        <v>20</v>
      </c>
      <c r="K187" s="2" t="s">
        <v>73</v>
      </c>
      <c r="L187" s="2">
        <v>42.0</v>
      </c>
      <c r="M187" s="2">
        <v>176.0</v>
      </c>
      <c r="N187" s="2">
        <v>230541.0</v>
      </c>
      <c r="O187" s="4">
        <v>45413.0</v>
      </c>
      <c r="P187" s="2" t="b">
        <v>1</v>
      </c>
      <c r="Q187" s="4">
        <f>IFERROR(__xludf.DUMMYFUNCTION("IF(ISDATE(O187),O187,L187)"),45413.0)</f>
        <v>45413</v>
      </c>
      <c r="R187" s="2">
        <v>42.0</v>
      </c>
      <c r="T187" s="4">
        <v>45413.0</v>
      </c>
    </row>
    <row r="188">
      <c r="A188" s="2" t="s">
        <v>287</v>
      </c>
      <c r="B188" s="2" t="s">
        <v>137</v>
      </c>
      <c r="C188" s="2" t="s">
        <v>57</v>
      </c>
      <c r="D188" s="2" t="s">
        <v>72</v>
      </c>
      <c r="E188" s="2">
        <v>188.0</v>
      </c>
      <c r="F188" s="3">
        <v>45039.0</v>
      </c>
      <c r="G188" s="3">
        <v>45166.0</v>
      </c>
      <c r="H188" s="2">
        <v>1.05632452E8</v>
      </c>
      <c r="I188" s="2">
        <v>9.9741224E7</v>
      </c>
      <c r="J188" s="2" t="s">
        <v>20</v>
      </c>
      <c r="K188" s="2" t="s">
        <v>42</v>
      </c>
      <c r="L188" s="2">
        <v>110.0</v>
      </c>
      <c r="M188" s="2">
        <v>127.0</v>
      </c>
      <c r="N188" s="2">
        <v>561875.0</v>
      </c>
      <c r="O188" s="4">
        <v>45017.0</v>
      </c>
      <c r="P188" s="2" t="b">
        <v>1</v>
      </c>
      <c r="Q188" s="4">
        <f>IFERROR(__xludf.DUMMYFUNCTION("IF(ISDATE(O188),O188,L188)"),45017.0)</f>
        <v>45017</v>
      </c>
      <c r="R188" s="2">
        <v>110.0</v>
      </c>
      <c r="T188" s="4">
        <v>45017.0</v>
      </c>
    </row>
    <row r="189">
      <c r="A189" s="2" t="s">
        <v>288</v>
      </c>
      <c r="B189" s="2" t="s">
        <v>78</v>
      </c>
      <c r="C189" s="2" t="s">
        <v>64</v>
      </c>
      <c r="D189" s="2" t="s">
        <v>29</v>
      </c>
      <c r="E189" s="2">
        <v>4263.0</v>
      </c>
      <c r="F189" s="3">
        <v>45068.0</v>
      </c>
      <c r="G189" s="3">
        <v>45226.0</v>
      </c>
      <c r="H189" s="2">
        <v>8.46009454E8</v>
      </c>
      <c r="I189" s="2">
        <v>8.67968719E8</v>
      </c>
      <c r="J189" s="2" t="s">
        <v>20</v>
      </c>
      <c r="K189" s="2" t="s">
        <v>25</v>
      </c>
      <c r="L189" s="2">
        <v>101.0</v>
      </c>
      <c r="M189" s="2">
        <v>158.0</v>
      </c>
      <c r="N189" s="2">
        <v>198454.0</v>
      </c>
      <c r="O189" s="4">
        <v>45047.0</v>
      </c>
      <c r="P189" s="2" t="b">
        <v>1</v>
      </c>
      <c r="Q189" s="4">
        <f>IFERROR(__xludf.DUMMYFUNCTION("IF(ISDATE(O189),O189,L189)"),45047.0)</f>
        <v>45047</v>
      </c>
      <c r="R189" s="2">
        <v>101.0</v>
      </c>
      <c r="T189" s="4">
        <v>45047.0</v>
      </c>
    </row>
    <row r="190">
      <c r="A190" s="2" t="s">
        <v>289</v>
      </c>
      <c r="B190" s="2" t="s">
        <v>201</v>
      </c>
      <c r="C190" s="2" t="s">
        <v>24</v>
      </c>
      <c r="D190" s="2" t="s">
        <v>102</v>
      </c>
      <c r="E190" s="2">
        <v>158.0</v>
      </c>
      <c r="F190" s="3">
        <v>45486.0</v>
      </c>
      <c r="G190" s="3">
        <v>45685.0</v>
      </c>
      <c r="H190" s="2">
        <v>1.44075051E8</v>
      </c>
      <c r="I190" s="2">
        <v>1.51074851E8</v>
      </c>
      <c r="J190" s="2" t="s">
        <v>20</v>
      </c>
      <c r="K190" s="2" t="s">
        <v>30</v>
      </c>
      <c r="L190" s="2">
        <v>161.0</v>
      </c>
      <c r="M190" s="2">
        <v>199.0</v>
      </c>
      <c r="N190" s="2">
        <v>911867.0</v>
      </c>
      <c r="O190" s="4">
        <v>45474.0</v>
      </c>
      <c r="P190" s="2" t="b">
        <v>1</v>
      </c>
      <c r="Q190" s="4">
        <f>IFERROR(__xludf.DUMMYFUNCTION("IF(ISDATE(O190),O190,L190)"),45474.0)</f>
        <v>45474</v>
      </c>
      <c r="R190" s="2">
        <v>161.0</v>
      </c>
      <c r="T190" s="4">
        <v>45474.0</v>
      </c>
    </row>
    <row r="191">
      <c r="A191" s="2" t="s">
        <v>290</v>
      </c>
      <c r="B191" s="2" t="s">
        <v>201</v>
      </c>
      <c r="C191" s="2" t="s">
        <v>64</v>
      </c>
      <c r="D191" s="2" t="s">
        <v>72</v>
      </c>
      <c r="E191" s="2">
        <v>251.0</v>
      </c>
      <c r="F191" s="3">
        <v>45157.0</v>
      </c>
      <c r="G191" s="2">
        <v>2.35528476E8</v>
      </c>
      <c r="H191" s="2" t="s">
        <v>69</v>
      </c>
      <c r="I191" s="2" t="s">
        <v>42</v>
      </c>
      <c r="J191" s="2">
        <v>130.0</v>
      </c>
      <c r="K191" s="2">
        <v>938360.0</v>
      </c>
      <c r="L191" s="4">
        <v>45139.0</v>
      </c>
      <c r="M191" s="2" t="b">
        <v>0</v>
      </c>
      <c r="Q191" s="4">
        <f>IFERROR(__xludf.DUMMYFUNCTION("IF(ISDATE(O191),O191,L191)"),45139.0)</f>
        <v>45139</v>
      </c>
      <c r="R191" s="2">
        <v>130.0</v>
      </c>
      <c r="T191" s="4">
        <v>45139.0</v>
      </c>
    </row>
    <row r="192">
      <c r="A192" s="2" t="s">
        <v>291</v>
      </c>
      <c r="B192" s="2" t="s">
        <v>256</v>
      </c>
      <c r="C192" s="2" t="s">
        <v>24</v>
      </c>
      <c r="D192" s="2" t="s">
        <v>67</v>
      </c>
      <c r="E192" s="2">
        <v>42.0</v>
      </c>
      <c r="F192" s="3">
        <v>45051.0</v>
      </c>
      <c r="G192" s="3">
        <v>45205.0</v>
      </c>
      <c r="H192" s="2">
        <v>1.9145882E7</v>
      </c>
      <c r="I192" s="2">
        <v>2.0616777E7</v>
      </c>
      <c r="J192" s="2" t="s">
        <v>20</v>
      </c>
      <c r="K192" s="2" t="s">
        <v>30</v>
      </c>
      <c r="L192" s="2">
        <v>42.0</v>
      </c>
      <c r="M192" s="2">
        <v>154.0</v>
      </c>
      <c r="N192" s="2">
        <v>455854.0</v>
      </c>
      <c r="O192" s="4">
        <v>45047.0</v>
      </c>
      <c r="P192" s="2" t="b">
        <v>1</v>
      </c>
      <c r="Q192" s="4">
        <f>IFERROR(__xludf.DUMMYFUNCTION("IF(ISDATE(O192),O192,L192)"),45047.0)</f>
        <v>45047</v>
      </c>
      <c r="R192" s="2">
        <v>42.0</v>
      </c>
      <c r="T192" s="4">
        <v>45047.0</v>
      </c>
    </row>
    <row r="193">
      <c r="A193" s="2" t="s">
        <v>292</v>
      </c>
      <c r="B193" s="2" t="s">
        <v>123</v>
      </c>
      <c r="C193" s="2" t="s">
        <v>24</v>
      </c>
      <c r="D193" s="2" t="s">
        <v>37</v>
      </c>
      <c r="E193" s="2">
        <v>340.0</v>
      </c>
      <c r="F193" s="3">
        <v>45598.0</v>
      </c>
      <c r="G193" s="3">
        <v>45735.0</v>
      </c>
      <c r="H193" s="2">
        <v>4.54886154E8</v>
      </c>
      <c r="I193" s="2">
        <v>4.78755064E8</v>
      </c>
      <c r="J193" s="2" t="s">
        <v>20</v>
      </c>
      <c r="K193" s="2" t="s">
        <v>30</v>
      </c>
      <c r="L193" s="2">
        <v>148.0</v>
      </c>
      <c r="M193" s="2">
        <v>137.0</v>
      </c>
      <c r="N193" s="2">
        <v>1337900.0</v>
      </c>
      <c r="O193" s="6">
        <v>45597.0</v>
      </c>
      <c r="P193" s="2" t="b">
        <v>1</v>
      </c>
      <c r="Q193" s="6">
        <f>IFERROR(__xludf.DUMMYFUNCTION("IF(ISDATE(O193),O193,L193)"),45597.0)</f>
        <v>45597</v>
      </c>
      <c r="R193" s="2">
        <v>148.0</v>
      </c>
      <c r="T193" s="6">
        <v>45597.0</v>
      </c>
    </row>
    <row r="194">
      <c r="A194" s="2" t="s">
        <v>293</v>
      </c>
      <c r="B194" s="2" t="s">
        <v>137</v>
      </c>
      <c r="C194" s="2" t="s">
        <v>18</v>
      </c>
      <c r="D194" s="2" t="s">
        <v>102</v>
      </c>
      <c r="E194" s="2">
        <v>113.0</v>
      </c>
      <c r="F194" s="3">
        <v>45527.0</v>
      </c>
      <c r="G194" s="3">
        <v>45554.0</v>
      </c>
      <c r="H194" s="2">
        <v>4.4214273E7</v>
      </c>
      <c r="I194" s="2">
        <v>4.4433869E7</v>
      </c>
      <c r="J194" s="2" t="s">
        <v>20</v>
      </c>
      <c r="K194" s="2" t="s">
        <v>42</v>
      </c>
      <c r="L194" s="2">
        <v>18.0</v>
      </c>
      <c r="M194" s="2">
        <v>27.0</v>
      </c>
      <c r="N194" s="2">
        <v>391277.0</v>
      </c>
      <c r="O194" s="4">
        <v>45505.0</v>
      </c>
      <c r="P194" s="2" t="b">
        <v>1</v>
      </c>
      <c r="Q194" s="4">
        <f>IFERROR(__xludf.DUMMYFUNCTION("IF(ISDATE(O194),O194,L194)"),45505.0)</f>
        <v>45505</v>
      </c>
      <c r="R194" s="2">
        <v>18.0</v>
      </c>
      <c r="T194" s="4">
        <v>45505.0</v>
      </c>
    </row>
    <row r="195">
      <c r="A195" s="2" t="s">
        <v>294</v>
      </c>
      <c r="B195" s="2" t="s">
        <v>56</v>
      </c>
      <c r="C195" s="2" t="s">
        <v>28</v>
      </c>
      <c r="D195" s="2" t="s">
        <v>67</v>
      </c>
      <c r="E195" s="2">
        <v>40.0</v>
      </c>
      <c r="F195" s="3">
        <v>45716.0</v>
      </c>
      <c r="G195" s="3">
        <v>45871.0</v>
      </c>
      <c r="H195" s="2">
        <v>2.9539709E7</v>
      </c>
      <c r="I195" s="2">
        <v>2.7923017E7</v>
      </c>
      <c r="J195" s="2" t="s">
        <v>20</v>
      </c>
      <c r="K195" s="2" t="s">
        <v>73</v>
      </c>
      <c r="L195" s="2">
        <v>127.0</v>
      </c>
      <c r="M195" s="2">
        <v>155.0</v>
      </c>
      <c r="N195" s="2">
        <v>738493.0</v>
      </c>
      <c r="O195" s="4">
        <v>45689.0</v>
      </c>
      <c r="P195" s="2" t="b">
        <v>1</v>
      </c>
      <c r="Q195" s="4">
        <f>IFERROR(__xludf.DUMMYFUNCTION("IF(ISDATE(O195),O195,L195)"),45689.0)</f>
        <v>45689</v>
      </c>
      <c r="R195" s="2">
        <v>127.0</v>
      </c>
      <c r="T195" s="4">
        <v>45689.0</v>
      </c>
    </row>
    <row r="196">
      <c r="A196" s="2" t="s">
        <v>295</v>
      </c>
      <c r="B196" s="2" t="s">
        <v>220</v>
      </c>
      <c r="C196" s="2" t="s">
        <v>18</v>
      </c>
      <c r="D196" s="2" t="s">
        <v>37</v>
      </c>
      <c r="E196" s="2">
        <v>464.0</v>
      </c>
      <c r="F196" s="3">
        <v>44987.0</v>
      </c>
      <c r="G196" s="2">
        <v>3.17527452E8</v>
      </c>
      <c r="H196" s="2" t="s">
        <v>41</v>
      </c>
      <c r="I196" s="2" t="s">
        <v>42</v>
      </c>
      <c r="J196" s="2">
        <v>141.0</v>
      </c>
      <c r="K196" s="2">
        <v>684326.0</v>
      </c>
      <c r="L196" s="4">
        <v>44986.0</v>
      </c>
      <c r="M196" s="2" t="b">
        <v>0</v>
      </c>
      <c r="Q196" s="4">
        <f>IFERROR(__xludf.DUMMYFUNCTION("IF(ISDATE(O196),O196,L196)"),44986.0)</f>
        <v>44986</v>
      </c>
      <c r="R196" s="2">
        <v>141.0</v>
      </c>
      <c r="T196" s="4">
        <v>44986.0</v>
      </c>
    </row>
    <row r="197">
      <c r="A197" s="2" t="s">
        <v>296</v>
      </c>
      <c r="B197" s="2" t="s">
        <v>284</v>
      </c>
      <c r="C197" s="2" t="s">
        <v>57</v>
      </c>
      <c r="D197" s="2" t="s">
        <v>19</v>
      </c>
      <c r="E197" s="2">
        <v>69.0</v>
      </c>
      <c r="F197" s="3">
        <v>45830.0</v>
      </c>
      <c r="G197" s="2">
        <v>2.3438768E7</v>
      </c>
      <c r="H197" s="2" t="s">
        <v>41</v>
      </c>
      <c r="I197" s="2" t="s">
        <v>73</v>
      </c>
      <c r="J197" s="2">
        <v>131.0</v>
      </c>
      <c r="K197" s="2">
        <v>339692.0</v>
      </c>
      <c r="L197" s="4">
        <v>45809.0</v>
      </c>
      <c r="M197" s="2" t="b">
        <v>0</v>
      </c>
      <c r="Q197" s="4">
        <f>IFERROR(__xludf.DUMMYFUNCTION("IF(ISDATE(O197),O197,L197)"),45809.0)</f>
        <v>45809</v>
      </c>
      <c r="R197" s="2">
        <v>131.0</v>
      </c>
      <c r="T197" s="4">
        <v>45809.0</v>
      </c>
    </row>
    <row r="198">
      <c r="A198" s="2" t="s">
        <v>297</v>
      </c>
      <c r="B198" s="2" t="s">
        <v>46</v>
      </c>
      <c r="C198" s="2" t="s">
        <v>28</v>
      </c>
      <c r="D198" s="2" t="s">
        <v>37</v>
      </c>
      <c r="E198" s="2">
        <v>319.0</v>
      </c>
      <c r="F198" s="3">
        <v>45508.0</v>
      </c>
      <c r="G198" s="3">
        <v>45608.0</v>
      </c>
      <c r="H198" s="2">
        <v>5.74950324E8</v>
      </c>
      <c r="I198" s="2">
        <v>6.19943587E8</v>
      </c>
      <c r="J198" s="2" t="s">
        <v>20</v>
      </c>
      <c r="K198" s="2" t="s">
        <v>25</v>
      </c>
      <c r="L198" s="2">
        <v>139.0</v>
      </c>
      <c r="M198" s="2">
        <v>100.0</v>
      </c>
      <c r="N198" s="2">
        <v>1802352.0</v>
      </c>
      <c r="O198" s="4">
        <v>45505.0</v>
      </c>
      <c r="P198" s="2" t="b">
        <v>1</v>
      </c>
      <c r="Q198" s="4">
        <f>IFERROR(__xludf.DUMMYFUNCTION("IF(ISDATE(O198),O198,L198)"),45505.0)</f>
        <v>45505</v>
      </c>
      <c r="R198" s="2">
        <v>139.0</v>
      </c>
      <c r="T198" s="4">
        <v>45505.0</v>
      </c>
    </row>
    <row r="199">
      <c r="A199" s="2" t="s">
        <v>298</v>
      </c>
      <c r="B199" s="2" t="s">
        <v>95</v>
      </c>
      <c r="C199" s="2" t="s">
        <v>64</v>
      </c>
      <c r="D199" s="2" t="s">
        <v>102</v>
      </c>
      <c r="E199" s="2">
        <v>164.0</v>
      </c>
      <c r="F199" s="3">
        <v>45124.0</v>
      </c>
      <c r="G199" s="2">
        <v>8.4408538E7</v>
      </c>
      <c r="H199" s="2" t="s">
        <v>69</v>
      </c>
      <c r="I199" s="2" t="s">
        <v>73</v>
      </c>
      <c r="J199" s="2">
        <v>170.0</v>
      </c>
      <c r="K199" s="2">
        <v>514686.0</v>
      </c>
      <c r="L199" s="4">
        <v>45108.0</v>
      </c>
      <c r="M199" s="2" t="b">
        <v>0</v>
      </c>
      <c r="Q199" s="4">
        <f>IFERROR(__xludf.DUMMYFUNCTION("IF(ISDATE(O199),O199,L199)"),45108.0)</f>
        <v>45108</v>
      </c>
      <c r="R199" s="2">
        <v>170.0</v>
      </c>
      <c r="T199" s="4">
        <v>45108.0</v>
      </c>
    </row>
    <row r="200">
      <c r="A200" s="2" t="s">
        <v>299</v>
      </c>
      <c r="B200" s="2" t="s">
        <v>106</v>
      </c>
      <c r="C200" s="2" t="s">
        <v>24</v>
      </c>
      <c r="D200" s="2" t="s">
        <v>102</v>
      </c>
      <c r="E200" s="2">
        <v>101.0</v>
      </c>
      <c r="F200" s="3">
        <v>45508.0</v>
      </c>
      <c r="G200" s="3">
        <v>45572.0</v>
      </c>
      <c r="H200" s="2">
        <v>7.5513745E7</v>
      </c>
      <c r="I200" s="2">
        <v>7.9816778E7</v>
      </c>
      <c r="J200" s="2" t="s">
        <v>20</v>
      </c>
      <c r="K200" s="2" t="s">
        <v>73</v>
      </c>
      <c r="L200" s="2">
        <v>114.0</v>
      </c>
      <c r="M200" s="2">
        <v>64.0</v>
      </c>
      <c r="N200" s="2">
        <v>747661.0</v>
      </c>
      <c r="O200" s="4">
        <v>45505.0</v>
      </c>
      <c r="P200" s="2" t="b">
        <v>1</v>
      </c>
      <c r="Q200" s="4">
        <f>IFERROR(__xludf.DUMMYFUNCTION("IF(ISDATE(O200),O200,L200)"),45505.0)</f>
        <v>45505</v>
      </c>
      <c r="R200" s="2">
        <v>114.0</v>
      </c>
      <c r="T200" s="4">
        <v>45505.0</v>
      </c>
    </row>
    <row r="201">
      <c r="A201" s="2" t="s">
        <v>300</v>
      </c>
      <c r="B201" s="2" t="s">
        <v>227</v>
      </c>
      <c r="C201" s="2" t="s">
        <v>64</v>
      </c>
      <c r="D201" s="2" t="s">
        <v>33</v>
      </c>
      <c r="E201" s="2">
        <v>90.0</v>
      </c>
      <c r="F201" s="3">
        <v>45932.0</v>
      </c>
      <c r="G201" s="3">
        <v>46029.0</v>
      </c>
      <c r="H201" s="2">
        <v>4.9585371E7</v>
      </c>
      <c r="I201" s="2">
        <v>4.5672729E7</v>
      </c>
      <c r="J201" s="2" t="s">
        <v>20</v>
      </c>
      <c r="K201" s="2" t="s">
        <v>73</v>
      </c>
      <c r="L201" s="2">
        <v>65.0</v>
      </c>
      <c r="M201" s="2">
        <v>97.0</v>
      </c>
      <c r="N201" s="2">
        <v>550949.0</v>
      </c>
      <c r="O201" s="6">
        <v>45931.0</v>
      </c>
      <c r="P201" s="2" t="b">
        <v>1</v>
      </c>
      <c r="Q201" s="6">
        <f>IFERROR(__xludf.DUMMYFUNCTION("IF(ISDATE(O201),O201,L201)"),45931.0)</f>
        <v>45931</v>
      </c>
      <c r="R201" s="2">
        <v>65.0</v>
      </c>
      <c r="T201" s="6">
        <v>45931.0</v>
      </c>
    </row>
    <row r="202">
      <c r="A202" s="2" t="s">
        <v>301</v>
      </c>
      <c r="B202" s="2" t="s">
        <v>63</v>
      </c>
      <c r="C202" s="2" t="s">
        <v>24</v>
      </c>
      <c r="D202" s="2" t="s">
        <v>37</v>
      </c>
      <c r="E202" s="2">
        <v>468.0</v>
      </c>
      <c r="F202" s="3">
        <v>45667.0</v>
      </c>
      <c r="G202" s="3">
        <v>45748.0</v>
      </c>
      <c r="H202" s="2">
        <v>7.43842422E8</v>
      </c>
      <c r="I202" s="2">
        <v>7.66784734E8</v>
      </c>
      <c r="J202" s="2" t="s">
        <v>20</v>
      </c>
      <c r="K202" s="2" t="s">
        <v>21</v>
      </c>
      <c r="L202" s="2">
        <v>175.0</v>
      </c>
      <c r="M202" s="2">
        <v>81.0</v>
      </c>
      <c r="N202" s="2">
        <v>1589407.0</v>
      </c>
      <c r="O202" s="4">
        <v>45658.0</v>
      </c>
      <c r="P202" s="2" t="b">
        <v>1</v>
      </c>
      <c r="Q202" s="4">
        <f>IFERROR(__xludf.DUMMYFUNCTION("IF(ISDATE(O202),O202,L202)"),45658.0)</f>
        <v>45658</v>
      </c>
      <c r="R202" s="2">
        <v>175.0</v>
      </c>
      <c r="T202" s="4">
        <v>45658.0</v>
      </c>
    </row>
    <row r="203">
      <c r="A203" s="2" t="s">
        <v>302</v>
      </c>
      <c r="B203" s="2" t="s">
        <v>113</v>
      </c>
      <c r="C203" s="2" t="s">
        <v>28</v>
      </c>
      <c r="D203" s="2" t="s">
        <v>37</v>
      </c>
      <c r="E203" s="2">
        <v>381.0</v>
      </c>
      <c r="F203" s="3">
        <v>45441.0</v>
      </c>
      <c r="G203" s="2">
        <v>8.2499496E8</v>
      </c>
      <c r="H203" s="2" t="s">
        <v>34</v>
      </c>
      <c r="I203" s="2" t="s">
        <v>21</v>
      </c>
      <c r="J203" s="2">
        <v>168.0</v>
      </c>
      <c r="K203" s="2">
        <v>2165341.0</v>
      </c>
      <c r="L203" s="4">
        <v>45413.0</v>
      </c>
      <c r="M203" s="2" t="b">
        <v>0</v>
      </c>
      <c r="Q203" s="4">
        <f>IFERROR(__xludf.DUMMYFUNCTION("IF(ISDATE(O203),O203,L203)"),45413.0)</f>
        <v>45413</v>
      </c>
      <c r="R203" s="2">
        <v>168.0</v>
      </c>
      <c r="T203" s="4">
        <v>45413.0</v>
      </c>
    </row>
    <row r="204">
      <c r="A204" s="2" t="s">
        <v>303</v>
      </c>
      <c r="B204" s="2" t="s">
        <v>135</v>
      </c>
      <c r="C204" s="2" t="s">
        <v>93</v>
      </c>
      <c r="D204" s="2" t="s">
        <v>37</v>
      </c>
      <c r="E204" s="2">
        <v>488.0</v>
      </c>
      <c r="F204" s="3">
        <v>45151.0</v>
      </c>
      <c r="G204" s="2">
        <v>2.93503202E8</v>
      </c>
      <c r="H204" s="2" t="s">
        <v>69</v>
      </c>
      <c r="I204" s="2" t="s">
        <v>25</v>
      </c>
      <c r="J204" s="2">
        <v>100.0</v>
      </c>
      <c r="K204" s="2">
        <v>601441.0</v>
      </c>
      <c r="L204" s="4">
        <v>45139.0</v>
      </c>
      <c r="M204" s="2" t="b">
        <v>0</v>
      </c>
      <c r="Q204" s="4">
        <f>IFERROR(__xludf.DUMMYFUNCTION("IF(ISDATE(O204),O204,L204)"),45139.0)</f>
        <v>45139</v>
      </c>
      <c r="R204" s="2">
        <v>100.0</v>
      </c>
      <c r="T204" s="4">
        <v>45139.0</v>
      </c>
    </row>
    <row r="205">
      <c r="A205" s="2" t="s">
        <v>304</v>
      </c>
      <c r="B205" s="2" t="s">
        <v>145</v>
      </c>
      <c r="C205" s="2" t="s">
        <v>24</v>
      </c>
      <c r="D205" s="2" t="s">
        <v>58</v>
      </c>
      <c r="E205" s="2">
        <v>283.0</v>
      </c>
      <c r="F205" s="3">
        <v>45748.0</v>
      </c>
      <c r="G205" s="3">
        <v>45818.0</v>
      </c>
      <c r="H205" s="2">
        <v>2.33656643E8</v>
      </c>
      <c r="I205" s="2">
        <v>2.40398737E8</v>
      </c>
      <c r="J205" s="2" t="s">
        <v>20</v>
      </c>
      <c r="K205" s="2" t="s">
        <v>25</v>
      </c>
      <c r="L205" s="2">
        <v>25.0</v>
      </c>
      <c r="M205" s="2">
        <v>70.0</v>
      </c>
      <c r="N205" s="2">
        <v>825642.0</v>
      </c>
      <c r="O205" s="4">
        <v>45748.0</v>
      </c>
      <c r="P205" s="2" t="b">
        <v>1</v>
      </c>
      <c r="Q205" s="4">
        <f>IFERROR(__xludf.DUMMYFUNCTION("IF(ISDATE(O205),O205,L205)"),45748.0)</f>
        <v>45748</v>
      </c>
      <c r="R205" s="2">
        <v>25.0</v>
      </c>
      <c r="T205" s="4">
        <v>45748.0</v>
      </c>
    </row>
    <row r="206">
      <c r="A206" s="2" t="s">
        <v>305</v>
      </c>
      <c r="B206" s="2" t="s">
        <v>54</v>
      </c>
      <c r="C206" s="2" t="s">
        <v>64</v>
      </c>
      <c r="D206" s="2" t="s">
        <v>58</v>
      </c>
      <c r="E206" s="2">
        <v>230.0</v>
      </c>
      <c r="F206" s="3">
        <v>45866.0</v>
      </c>
      <c r="G206" s="3">
        <v>45896.0</v>
      </c>
      <c r="H206" s="2">
        <v>1.3451487E8</v>
      </c>
      <c r="I206" s="2">
        <v>1.43185981E8</v>
      </c>
      <c r="J206" s="2" t="s">
        <v>20</v>
      </c>
      <c r="K206" s="2" t="s">
        <v>42</v>
      </c>
      <c r="L206" s="2">
        <v>151.0</v>
      </c>
      <c r="M206" s="2">
        <v>30.0</v>
      </c>
      <c r="N206" s="2">
        <v>584847.0</v>
      </c>
      <c r="O206" s="4">
        <v>45839.0</v>
      </c>
      <c r="P206" s="2" t="b">
        <v>1</v>
      </c>
      <c r="Q206" s="4">
        <f>IFERROR(__xludf.DUMMYFUNCTION("IF(ISDATE(O206),O206,L206)"),45839.0)</f>
        <v>45839</v>
      </c>
      <c r="R206" s="2">
        <v>151.0</v>
      </c>
      <c r="T206" s="4">
        <v>45839.0</v>
      </c>
    </row>
    <row r="207">
      <c r="A207" s="2" t="s">
        <v>306</v>
      </c>
      <c r="B207" s="2" t="s">
        <v>66</v>
      </c>
      <c r="C207" s="2" t="s">
        <v>64</v>
      </c>
      <c r="D207" s="2" t="s">
        <v>102</v>
      </c>
      <c r="E207" s="2">
        <v>141.0</v>
      </c>
      <c r="F207" s="3">
        <v>45046.0</v>
      </c>
      <c r="G207" s="2">
        <v>8.5915985E7</v>
      </c>
      <c r="H207" s="2" t="s">
        <v>34</v>
      </c>
      <c r="I207" s="2" t="s">
        <v>21</v>
      </c>
      <c r="J207" s="2">
        <v>135.0</v>
      </c>
      <c r="K207" s="2">
        <v>609333.0</v>
      </c>
      <c r="L207" s="4">
        <v>45017.0</v>
      </c>
      <c r="M207" s="2" t="b">
        <v>0</v>
      </c>
      <c r="Q207" s="4">
        <f>IFERROR(__xludf.DUMMYFUNCTION("IF(ISDATE(O207),O207,L207)"),45017.0)</f>
        <v>45017</v>
      </c>
      <c r="R207" s="2">
        <v>135.0</v>
      </c>
      <c r="T207" s="4">
        <v>45017.0</v>
      </c>
    </row>
    <row r="208">
      <c r="A208" s="2" t="s">
        <v>307</v>
      </c>
      <c r="B208" s="2" t="s">
        <v>44</v>
      </c>
      <c r="C208" s="2" t="s">
        <v>24</v>
      </c>
      <c r="D208" s="2" t="s">
        <v>19</v>
      </c>
      <c r="E208" s="2">
        <v>54.0</v>
      </c>
      <c r="F208" s="3">
        <v>45352.0</v>
      </c>
      <c r="G208" s="3">
        <v>45381.0</v>
      </c>
      <c r="H208" s="2">
        <v>3.2028435E7</v>
      </c>
      <c r="I208" s="2">
        <v>3.2913791E7</v>
      </c>
      <c r="J208" s="2" t="s">
        <v>20</v>
      </c>
      <c r="K208" s="2" t="s">
        <v>30</v>
      </c>
      <c r="L208" s="2">
        <v>10.0</v>
      </c>
      <c r="M208" s="2">
        <v>29.0</v>
      </c>
      <c r="N208" s="2">
        <v>593119.0</v>
      </c>
      <c r="O208" s="4">
        <v>45352.0</v>
      </c>
      <c r="P208" s="2" t="b">
        <v>1</v>
      </c>
      <c r="Q208" s="4">
        <f>IFERROR(__xludf.DUMMYFUNCTION("IF(ISDATE(O208),O208,L208)"),45352.0)</f>
        <v>45352</v>
      </c>
      <c r="R208" s="2">
        <v>10.0</v>
      </c>
      <c r="T208" s="4">
        <v>45352.0</v>
      </c>
    </row>
    <row r="209">
      <c r="A209" s="2" t="s">
        <v>308</v>
      </c>
      <c r="B209" s="2" t="s">
        <v>183</v>
      </c>
      <c r="C209" s="2" t="s">
        <v>24</v>
      </c>
      <c r="D209" s="2" t="s">
        <v>19</v>
      </c>
      <c r="E209" s="2">
        <v>63.0</v>
      </c>
      <c r="F209" s="3">
        <v>45001.0</v>
      </c>
      <c r="G209" s="3">
        <v>45104.0</v>
      </c>
      <c r="H209" s="2">
        <v>3.9337833E7</v>
      </c>
      <c r="I209" s="2">
        <v>3.9596918E7</v>
      </c>
      <c r="J209" s="2" t="s">
        <v>20</v>
      </c>
      <c r="K209" s="2" t="s">
        <v>21</v>
      </c>
      <c r="L209" s="2">
        <v>22.0</v>
      </c>
      <c r="M209" s="2">
        <v>103.0</v>
      </c>
      <c r="N209" s="2">
        <v>624410.0</v>
      </c>
      <c r="O209" s="4">
        <v>44986.0</v>
      </c>
      <c r="P209" s="2" t="b">
        <v>1</v>
      </c>
      <c r="Q209" s="4">
        <f>IFERROR(__xludf.DUMMYFUNCTION("IF(ISDATE(O209),O209,L209)"),44986.0)</f>
        <v>44986</v>
      </c>
      <c r="R209" s="2">
        <v>22.0</v>
      </c>
      <c r="T209" s="4">
        <v>44986.0</v>
      </c>
    </row>
    <row r="210">
      <c r="A210" s="2" t="s">
        <v>309</v>
      </c>
      <c r="B210" s="2" t="s">
        <v>39</v>
      </c>
      <c r="C210" s="2" t="s">
        <v>101</v>
      </c>
      <c r="D210" s="2" t="s">
        <v>81</v>
      </c>
      <c r="E210" s="2">
        <v>659.0</v>
      </c>
      <c r="F210" s="3">
        <v>45111.0</v>
      </c>
      <c r="G210" s="2">
        <v>1.32522261E8</v>
      </c>
      <c r="H210" s="2" t="s">
        <v>34</v>
      </c>
      <c r="I210" s="2" t="s">
        <v>73</v>
      </c>
      <c r="J210" s="2">
        <v>100.0</v>
      </c>
      <c r="K210" s="2">
        <v>201096.0</v>
      </c>
      <c r="L210" s="4">
        <v>45108.0</v>
      </c>
      <c r="M210" s="2" t="b">
        <v>0</v>
      </c>
      <c r="Q210" s="4">
        <f>IFERROR(__xludf.DUMMYFUNCTION("IF(ISDATE(O210),O210,L210)"),45108.0)</f>
        <v>45108</v>
      </c>
      <c r="R210" s="2">
        <v>100.0</v>
      </c>
      <c r="T210" s="4">
        <v>45108.0</v>
      </c>
    </row>
    <row r="211">
      <c r="A211" s="2" t="s">
        <v>310</v>
      </c>
      <c r="B211" s="2" t="s">
        <v>119</v>
      </c>
      <c r="C211" s="2" t="s">
        <v>101</v>
      </c>
      <c r="D211" s="2" t="s">
        <v>49</v>
      </c>
      <c r="E211" s="2">
        <v>164.0</v>
      </c>
      <c r="F211" s="3">
        <v>45009.0</v>
      </c>
      <c r="G211" s="2">
        <v>7.4379333E7</v>
      </c>
      <c r="H211" s="2" t="s">
        <v>34</v>
      </c>
      <c r="I211" s="2" t="s">
        <v>42</v>
      </c>
      <c r="J211" s="2">
        <v>172.0</v>
      </c>
      <c r="K211" s="2">
        <v>453533.0</v>
      </c>
      <c r="L211" s="4">
        <v>44986.0</v>
      </c>
      <c r="M211" s="2" t="b">
        <v>0</v>
      </c>
      <c r="Q211" s="4">
        <f>IFERROR(__xludf.DUMMYFUNCTION("IF(ISDATE(O211),O211,L211)"),44986.0)</f>
        <v>44986</v>
      </c>
      <c r="R211" s="2">
        <v>172.0</v>
      </c>
      <c r="T211" s="4">
        <v>44986.0</v>
      </c>
    </row>
    <row r="212">
      <c r="A212" s="2" t="s">
        <v>311</v>
      </c>
      <c r="B212" s="2" t="s">
        <v>66</v>
      </c>
      <c r="C212" s="2" t="s">
        <v>40</v>
      </c>
      <c r="D212" s="2" t="s">
        <v>33</v>
      </c>
      <c r="E212" s="2">
        <v>76.0</v>
      </c>
      <c r="F212" s="3">
        <v>45468.0</v>
      </c>
      <c r="G212" s="3">
        <v>45540.0</v>
      </c>
      <c r="H212" s="2">
        <v>2.2494644E7</v>
      </c>
      <c r="I212" s="2">
        <v>2.341667E7</v>
      </c>
      <c r="J212" s="2" t="s">
        <v>20</v>
      </c>
      <c r="K212" s="2" t="s">
        <v>30</v>
      </c>
      <c r="L212" s="2">
        <v>123.0</v>
      </c>
      <c r="M212" s="2">
        <v>72.0</v>
      </c>
      <c r="N212" s="2">
        <v>295982.0</v>
      </c>
      <c r="O212" s="4">
        <v>45444.0</v>
      </c>
      <c r="P212" s="2" t="b">
        <v>1</v>
      </c>
      <c r="Q212" s="4">
        <f>IFERROR(__xludf.DUMMYFUNCTION("IF(ISDATE(O212),O212,L212)"),45444.0)</f>
        <v>45444</v>
      </c>
      <c r="R212" s="2">
        <v>123.0</v>
      </c>
      <c r="T212" s="4">
        <v>45444.0</v>
      </c>
    </row>
    <row r="213">
      <c r="A213" s="2" t="s">
        <v>312</v>
      </c>
      <c r="B213" s="2" t="s">
        <v>66</v>
      </c>
      <c r="C213" s="2" t="s">
        <v>18</v>
      </c>
      <c r="D213" s="2" t="s">
        <v>58</v>
      </c>
      <c r="E213" s="2">
        <v>158.0</v>
      </c>
      <c r="F213" s="3">
        <v>45770.0</v>
      </c>
      <c r="G213" s="3">
        <v>45902.0</v>
      </c>
      <c r="H213" s="2">
        <v>4.8102606E7</v>
      </c>
      <c r="I213" s="2">
        <v>4.6375912E7</v>
      </c>
      <c r="J213" s="2" t="s">
        <v>20</v>
      </c>
      <c r="K213" s="2" t="s">
        <v>21</v>
      </c>
      <c r="L213" s="2">
        <v>13.0</v>
      </c>
      <c r="M213" s="2">
        <v>132.0</v>
      </c>
      <c r="N213" s="2">
        <v>304447.0</v>
      </c>
      <c r="O213" s="4">
        <v>45748.0</v>
      </c>
      <c r="P213" s="2" t="b">
        <v>1</v>
      </c>
      <c r="Q213" s="4">
        <f>IFERROR(__xludf.DUMMYFUNCTION("IF(ISDATE(O213),O213,L213)"),45748.0)</f>
        <v>45748</v>
      </c>
      <c r="R213" s="2">
        <v>13.0</v>
      </c>
      <c r="T213" s="4">
        <v>45748.0</v>
      </c>
    </row>
    <row r="214">
      <c r="A214" s="2" t="s">
        <v>313</v>
      </c>
      <c r="B214" s="2" t="s">
        <v>27</v>
      </c>
      <c r="C214" s="2" t="s">
        <v>57</v>
      </c>
      <c r="D214" s="2" t="s">
        <v>49</v>
      </c>
      <c r="E214" s="2">
        <v>207.0</v>
      </c>
      <c r="F214" s="3">
        <v>45138.0</v>
      </c>
      <c r="G214" s="3">
        <v>45305.0</v>
      </c>
      <c r="H214" s="2">
        <v>8.0071091E7</v>
      </c>
      <c r="I214" s="2">
        <v>8.1323849E7</v>
      </c>
      <c r="J214" s="2" t="s">
        <v>20</v>
      </c>
      <c r="K214" s="2" t="s">
        <v>21</v>
      </c>
      <c r="L214" s="2">
        <v>67.0</v>
      </c>
      <c r="M214" s="2">
        <v>167.0</v>
      </c>
      <c r="N214" s="2">
        <v>386817.0</v>
      </c>
      <c r="O214" s="4">
        <v>45108.0</v>
      </c>
      <c r="P214" s="2" t="b">
        <v>1</v>
      </c>
      <c r="Q214" s="4">
        <f>IFERROR(__xludf.DUMMYFUNCTION("IF(ISDATE(O214),O214,L214)"),45108.0)</f>
        <v>45108</v>
      </c>
      <c r="R214" s="2">
        <v>67.0</v>
      </c>
      <c r="T214" s="4">
        <v>45108.0</v>
      </c>
    </row>
    <row r="215">
      <c r="A215" s="2" t="s">
        <v>314</v>
      </c>
      <c r="B215" s="2" t="s">
        <v>183</v>
      </c>
      <c r="C215" s="2" t="s">
        <v>57</v>
      </c>
      <c r="D215" s="2" t="s">
        <v>49</v>
      </c>
      <c r="E215" s="2">
        <v>162.0</v>
      </c>
      <c r="F215" s="3">
        <v>45149.0</v>
      </c>
      <c r="G215" s="2">
        <v>6.5757791E7</v>
      </c>
      <c r="H215" s="2" t="s">
        <v>41</v>
      </c>
      <c r="I215" s="2" t="s">
        <v>30</v>
      </c>
      <c r="J215" s="2">
        <v>64.0</v>
      </c>
      <c r="K215" s="2">
        <v>405912.0</v>
      </c>
      <c r="L215" s="4">
        <v>45139.0</v>
      </c>
      <c r="M215" s="2" t="b">
        <v>0</v>
      </c>
      <c r="Q215" s="4">
        <f>IFERROR(__xludf.DUMMYFUNCTION("IF(ISDATE(O215),O215,L215)"),45139.0)</f>
        <v>45139</v>
      </c>
      <c r="R215" s="2">
        <v>64.0</v>
      </c>
      <c r="T215" s="4">
        <v>45139.0</v>
      </c>
    </row>
    <row r="216">
      <c r="A216" s="2" t="s">
        <v>315</v>
      </c>
      <c r="B216" s="2" t="s">
        <v>109</v>
      </c>
      <c r="C216" s="2" t="s">
        <v>57</v>
      </c>
      <c r="D216" s="2" t="s">
        <v>29</v>
      </c>
      <c r="E216" s="2">
        <v>3012.0</v>
      </c>
      <c r="F216" s="3">
        <v>45718.0</v>
      </c>
      <c r="G216" s="3">
        <v>45815.0</v>
      </c>
      <c r="H216" s="2">
        <v>4.09769565E8</v>
      </c>
      <c r="I216" s="2">
        <v>4.34438238E8</v>
      </c>
      <c r="J216" s="2" t="s">
        <v>20</v>
      </c>
      <c r="K216" s="2" t="s">
        <v>25</v>
      </c>
      <c r="L216" s="2">
        <v>61.0</v>
      </c>
      <c r="M216" s="2">
        <v>97.0</v>
      </c>
      <c r="N216" s="2">
        <v>136046.0</v>
      </c>
      <c r="O216" s="4">
        <v>45717.0</v>
      </c>
      <c r="P216" s="2" t="b">
        <v>1</v>
      </c>
      <c r="Q216" s="4">
        <f>IFERROR(__xludf.DUMMYFUNCTION("IF(ISDATE(O216),O216,L216)"),45717.0)</f>
        <v>45717</v>
      </c>
      <c r="R216" s="2">
        <v>61.0</v>
      </c>
      <c r="T216" s="4">
        <v>45717.0</v>
      </c>
    </row>
    <row r="217">
      <c r="A217" s="2" t="s">
        <v>316</v>
      </c>
      <c r="B217" s="2" t="s">
        <v>275</v>
      </c>
      <c r="C217" s="2" t="s">
        <v>24</v>
      </c>
      <c r="D217" s="2" t="s">
        <v>37</v>
      </c>
      <c r="E217" s="2">
        <v>331.0</v>
      </c>
      <c r="F217" s="3">
        <v>45827.0</v>
      </c>
      <c r="G217" s="2">
        <v>5.20851032E8</v>
      </c>
      <c r="H217" s="2" t="s">
        <v>41</v>
      </c>
      <c r="I217" s="2" t="s">
        <v>73</v>
      </c>
      <c r="J217" s="2">
        <v>147.0</v>
      </c>
      <c r="K217" s="2">
        <v>1573568.0</v>
      </c>
      <c r="L217" s="4">
        <v>45809.0</v>
      </c>
      <c r="M217" s="2" t="b">
        <v>0</v>
      </c>
      <c r="Q217" s="4">
        <f>IFERROR(__xludf.DUMMYFUNCTION("IF(ISDATE(O217),O217,L217)"),45809.0)</f>
        <v>45809</v>
      </c>
      <c r="R217" s="2">
        <v>147.0</v>
      </c>
      <c r="T217" s="4">
        <v>45809.0</v>
      </c>
    </row>
    <row r="218">
      <c r="A218" s="2" t="s">
        <v>317</v>
      </c>
      <c r="B218" s="2" t="s">
        <v>52</v>
      </c>
      <c r="C218" s="2" t="s">
        <v>64</v>
      </c>
      <c r="D218" s="2" t="s">
        <v>67</v>
      </c>
      <c r="E218" s="2">
        <v>45.0</v>
      </c>
      <c r="F218" s="3">
        <v>45253.0</v>
      </c>
      <c r="G218" s="2">
        <v>1.2894813E7</v>
      </c>
      <c r="H218" s="2" t="s">
        <v>69</v>
      </c>
      <c r="I218" s="2" t="s">
        <v>73</v>
      </c>
      <c r="J218" s="2">
        <v>52.0</v>
      </c>
      <c r="K218" s="2">
        <v>286551.0</v>
      </c>
      <c r="L218" s="6">
        <v>45231.0</v>
      </c>
      <c r="M218" s="2" t="b">
        <v>0</v>
      </c>
      <c r="Q218" s="6">
        <f>IFERROR(__xludf.DUMMYFUNCTION("IF(ISDATE(O218),O218,L218)"),45231.0)</f>
        <v>45231</v>
      </c>
      <c r="R218" s="2">
        <v>52.0</v>
      </c>
      <c r="T218" s="6">
        <v>45231.0</v>
      </c>
    </row>
    <row r="219">
      <c r="A219" s="2" t="s">
        <v>318</v>
      </c>
      <c r="B219" s="2" t="s">
        <v>111</v>
      </c>
      <c r="C219" s="2" t="s">
        <v>57</v>
      </c>
      <c r="D219" s="2" t="s">
        <v>81</v>
      </c>
      <c r="E219" s="2">
        <v>2374.0</v>
      </c>
      <c r="F219" s="3">
        <v>45805.0</v>
      </c>
      <c r="G219" s="2">
        <v>5.54215337E8</v>
      </c>
      <c r="H219" s="2" t="s">
        <v>69</v>
      </c>
      <c r="I219" s="2" t="s">
        <v>25</v>
      </c>
      <c r="J219" s="2">
        <v>110.0</v>
      </c>
      <c r="K219" s="2">
        <v>233452.0</v>
      </c>
      <c r="L219" s="4">
        <v>45778.0</v>
      </c>
      <c r="M219" s="2" t="b">
        <v>0</v>
      </c>
      <c r="Q219" s="4">
        <f>IFERROR(__xludf.DUMMYFUNCTION("IF(ISDATE(O219),O219,L219)"),45778.0)</f>
        <v>45778</v>
      </c>
      <c r="R219" s="2">
        <v>110.0</v>
      </c>
      <c r="T219" s="4">
        <v>45778.0</v>
      </c>
    </row>
    <row r="220">
      <c r="A220" s="2" t="s">
        <v>319</v>
      </c>
      <c r="B220" s="2" t="s">
        <v>284</v>
      </c>
      <c r="C220" s="2" t="s">
        <v>101</v>
      </c>
      <c r="D220" s="2" t="s">
        <v>58</v>
      </c>
      <c r="E220" s="2">
        <v>185.0</v>
      </c>
      <c r="F220" s="3">
        <v>45175.0</v>
      </c>
      <c r="G220" s="3">
        <v>45274.0</v>
      </c>
      <c r="H220" s="2">
        <v>6.0916551E7</v>
      </c>
      <c r="I220" s="2">
        <v>6.503184E7</v>
      </c>
      <c r="J220" s="2" t="s">
        <v>20</v>
      </c>
      <c r="K220" s="2" t="s">
        <v>30</v>
      </c>
      <c r="L220" s="2">
        <v>28.0</v>
      </c>
      <c r="M220" s="2">
        <v>99.0</v>
      </c>
      <c r="N220" s="2">
        <v>329279.0</v>
      </c>
      <c r="O220" s="4">
        <v>45170.0</v>
      </c>
      <c r="P220" s="2" t="b">
        <v>1</v>
      </c>
      <c r="Q220" s="4">
        <f>IFERROR(__xludf.DUMMYFUNCTION("IF(ISDATE(O220),O220,L220)"),45170.0)</f>
        <v>45170</v>
      </c>
      <c r="R220" s="2">
        <v>28.0</v>
      </c>
      <c r="T220" s="4">
        <v>45170.0</v>
      </c>
    </row>
    <row r="221">
      <c r="A221" s="2" t="s">
        <v>320</v>
      </c>
      <c r="B221" s="2" t="s">
        <v>39</v>
      </c>
      <c r="C221" s="2" t="s">
        <v>64</v>
      </c>
      <c r="D221" s="2" t="s">
        <v>72</v>
      </c>
      <c r="E221" s="2">
        <v>193.0</v>
      </c>
      <c r="F221" s="3">
        <v>45616.0</v>
      </c>
      <c r="G221" s="3">
        <v>45641.0</v>
      </c>
      <c r="H221" s="2">
        <v>1.87509734E8</v>
      </c>
      <c r="I221" s="2">
        <v>1.78154147E8</v>
      </c>
      <c r="J221" s="2" t="s">
        <v>20</v>
      </c>
      <c r="K221" s="2" t="s">
        <v>25</v>
      </c>
      <c r="L221" s="2">
        <v>176.0</v>
      </c>
      <c r="M221" s="2">
        <v>25.0</v>
      </c>
      <c r="N221" s="2">
        <v>971553.0</v>
      </c>
      <c r="O221" s="6">
        <v>45597.0</v>
      </c>
      <c r="P221" s="2" t="b">
        <v>1</v>
      </c>
      <c r="Q221" s="6">
        <f>IFERROR(__xludf.DUMMYFUNCTION("IF(ISDATE(O221),O221,L221)"),45597.0)</f>
        <v>45597</v>
      </c>
      <c r="R221" s="2">
        <v>176.0</v>
      </c>
      <c r="T221" s="6">
        <v>45597.0</v>
      </c>
    </row>
    <row r="222">
      <c r="A222" s="2" t="s">
        <v>321</v>
      </c>
      <c r="B222" s="2" t="s">
        <v>106</v>
      </c>
      <c r="C222" s="2" t="s">
        <v>64</v>
      </c>
      <c r="D222" s="2" t="s">
        <v>81</v>
      </c>
      <c r="E222" s="2">
        <v>2111.0</v>
      </c>
      <c r="F222" s="3">
        <v>45906.0</v>
      </c>
      <c r="G222" s="2">
        <v>6.9813568E8</v>
      </c>
      <c r="H222" s="2" t="s">
        <v>41</v>
      </c>
      <c r="I222" s="2" t="s">
        <v>21</v>
      </c>
      <c r="J222" s="2">
        <v>127.0</v>
      </c>
      <c r="K222" s="2">
        <v>330713.0</v>
      </c>
      <c r="L222" s="4">
        <v>45901.0</v>
      </c>
      <c r="M222" s="2" t="b">
        <v>0</v>
      </c>
      <c r="Q222" s="4">
        <f>IFERROR(__xludf.DUMMYFUNCTION("IF(ISDATE(O222),O222,L222)"),45901.0)</f>
        <v>45901</v>
      </c>
      <c r="R222" s="2">
        <v>127.0</v>
      </c>
      <c r="T222" s="4">
        <v>45901.0</v>
      </c>
    </row>
    <row r="223">
      <c r="A223" s="2" t="s">
        <v>322</v>
      </c>
      <c r="B223" s="2" t="s">
        <v>323</v>
      </c>
      <c r="C223" s="2" t="s">
        <v>93</v>
      </c>
      <c r="D223" s="2" t="s">
        <v>29</v>
      </c>
      <c r="E223" s="2">
        <v>2075.0</v>
      </c>
      <c r="F223" s="3">
        <v>45492.0</v>
      </c>
      <c r="G223" s="3">
        <v>45579.0</v>
      </c>
      <c r="H223" s="2">
        <v>2.80759398E8</v>
      </c>
      <c r="I223" s="2">
        <v>2.82271012E8</v>
      </c>
      <c r="J223" s="2" t="s">
        <v>20</v>
      </c>
      <c r="K223" s="2" t="s">
        <v>30</v>
      </c>
      <c r="L223" s="2">
        <v>83.0</v>
      </c>
      <c r="M223" s="2">
        <v>87.0</v>
      </c>
      <c r="N223" s="2">
        <v>135306.0</v>
      </c>
      <c r="O223" s="4">
        <v>45474.0</v>
      </c>
      <c r="P223" s="2" t="b">
        <v>1</v>
      </c>
      <c r="Q223" s="4">
        <f>IFERROR(__xludf.DUMMYFUNCTION("IF(ISDATE(O223),O223,L223)"),45474.0)</f>
        <v>45474</v>
      </c>
      <c r="R223" s="2">
        <v>83.0</v>
      </c>
      <c r="T223" s="4">
        <v>45474.0</v>
      </c>
    </row>
    <row r="224">
      <c r="A224" s="2" t="s">
        <v>324</v>
      </c>
      <c r="B224" s="2" t="s">
        <v>153</v>
      </c>
      <c r="C224" s="2" t="s">
        <v>24</v>
      </c>
      <c r="D224" s="2" t="s">
        <v>58</v>
      </c>
      <c r="E224" s="2">
        <v>275.0</v>
      </c>
      <c r="F224" s="3">
        <v>45027.0</v>
      </c>
      <c r="G224" s="2">
        <v>2.04056671E8</v>
      </c>
      <c r="H224" s="2" t="s">
        <v>34</v>
      </c>
      <c r="I224" s="2" t="s">
        <v>30</v>
      </c>
      <c r="J224" s="2">
        <v>57.0</v>
      </c>
      <c r="K224" s="2">
        <v>742024.0</v>
      </c>
      <c r="L224" s="4">
        <v>45017.0</v>
      </c>
      <c r="M224" s="2" t="b">
        <v>0</v>
      </c>
      <c r="Q224" s="4">
        <f>IFERROR(__xludf.DUMMYFUNCTION("IF(ISDATE(O224),O224,L224)"),45017.0)</f>
        <v>45017</v>
      </c>
      <c r="R224" s="2">
        <v>57.0</v>
      </c>
      <c r="T224" s="4">
        <v>45017.0</v>
      </c>
    </row>
    <row r="225">
      <c r="A225" s="2" t="s">
        <v>325</v>
      </c>
      <c r="B225" s="2" t="s">
        <v>135</v>
      </c>
      <c r="C225" s="2" t="s">
        <v>24</v>
      </c>
      <c r="D225" s="2" t="s">
        <v>49</v>
      </c>
      <c r="E225" s="2">
        <v>61.0</v>
      </c>
      <c r="F225" s="3">
        <v>45686.0</v>
      </c>
      <c r="G225" s="3">
        <v>45767.0</v>
      </c>
      <c r="H225" s="2">
        <v>5.9469229E7</v>
      </c>
      <c r="I225" s="2">
        <v>6.0268798E7</v>
      </c>
      <c r="J225" s="2" t="s">
        <v>20</v>
      </c>
      <c r="K225" s="2" t="s">
        <v>73</v>
      </c>
      <c r="L225" s="2">
        <v>80.0</v>
      </c>
      <c r="M225" s="2">
        <v>81.0</v>
      </c>
      <c r="N225" s="2">
        <v>974905.0</v>
      </c>
      <c r="O225" s="4">
        <v>45658.0</v>
      </c>
      <c r="P225" s="2" t="b">
        <v>1</v>
      </c>
      <c r="Q225" s="4">
        <f>IFERROR(__xludf.DUMMYFUNCTION("IF(ISDATE(O225),O225,L225)"),45658.0)</f>
        <v>45658</v>
      </c>
      <c r="R225" s="2">
        <v>80.0</v>
      </c>
      <c r="T225" s="4">
        <v>45658.0</v>
      </c>
    </row>
    <row r="226">
      <c r="A226" s="2" t="s">
        <v>326</v>
      </c>
      <c r="B226" s="2" t="s">
        <v>52</v>
      </c>
      <c r="C226" s="2" t="s">
        <v>28</v>
      </c>
      <c r="D226" s="2" t="s">
        <v>67</v>
      </c>
      <c r="E226" s="2">
        <v>32.0</v>
      </c>
      <c r="F226" s="3">
        <v>45780.0</v>
      </c>
      <c r="G226" s="3">
        <v>45935.0</v>
      </c>
      <c r="H226" s="2">
        <v>2.1169494E7</v>
      </c>
      <c r="I226" s="2">
        <v>2.1795591E7</v>
      </c>
      <c r="J226" s="2" t="s">
        <v>20</v>
      </c>
      <c r="K226" s="2" t="s">
        <v>30</v>
      </c>
      <c r="L226" s="2">
        <v>130.0</v>
      </c>
      <c r="M226" s="2">
        <v>155.0</v>
      </c>
      <c r="N226" s="2">
        <v>661547.0</v>
      </c>
      <c r="O226" s="4">
        <v>45778.0</v>
      </c>
      <c r="P226" s="2" t="b">
        <v>1</v>
      </c>
      <c r="Q226" s="4">
        <f>IFERROR(__xludf.DUMMYFUNCTION("IF(ISDATE(O226),O226,L226)"),45778.0)</f>
        <v>45778</v>
      </c>
      <c r="R226" s="2">
        <v>130.0</v>
      </c>
      <c r="T226" s="4">
        <v>45778.0</v>
      </c>
    </row>
    <row r="227">
      <c r="A227" s="2" t="s">
        <v>327</v>
      </c>
      <c r="B227" s="2" t="s">
        <v>71</v>
      </c>
      <c r="C227" s="2" t="s">
        <v>101</v>
      </c>
      <c r="D227" s="2" t="s">
        <v>81</v>
      </c>
      <c r="E227" s="2">
        <v>4175.0</v>
      </c>
      <c r="F227" s="3">
        <v>45741.0</v>
      </c>
      <c r="G227" s="3">
        <v>45791.0</v>
      </c>
      <c r="H227" s="2">
        <v>7.69771122E8</v>
      </c>
      <c r="I227" s="2">
        <v>7.6833212E8</v>
      </c>
      <c r="J227" s="2" t="s">
        <v>20</v>
      </c>
      <c r="K227" s="2" t="s">
        <v>25</v>
      </c>
      <c r="L227" s="2">
        <v>169.0</v>
      </c>
      <c r="M227" s="2">
        <v>50.0</v>
      </c>
      <c r="N227" s="2">
        <v>184376.0</v>
      </c>
      <c r="O227" s="4">
        <v>45717.0</v>
      </c>
      <c r="P227" s="2" t="b">
        <v>1</v>
      </c>
      <c r="Q227" s="4">
        <f>IFERROR(__xludf.DUMMYFUNCTION("IF(ISDATE(O227),O227,L227)"),45717.0)</f>
        <v>45717</v>
      </c>
      <c r="R227" s="2">
        <v>169.0</v>
      </c>
      <c r="T227" s="4">
        <v>45717.0</v>
      </c>
    </row>
    <row r="228">
      <c r="A228" s="2" t="s">
        <v>328</v>
      </c>
      <c r="B228" s="2" t="s">
        <v>56</v>
      </c>
      <c r="C228" s="2" t="s">
        <v>101</v>
      </c>
      <c r="D228" s="2" t="s">
        <v>58</v>
      </c>
      <c r="E228" s="2">
        <v>58.0</v>
      </c>
      <c r="F228" s="3">
        <v>44976.0</v>
      </c>
      <c r="G228" s="2">
        <v>1.5589471E7</v>
      </c>
      <c r="H228" s="2" t="s">
        <v>69</v>
      </c>
      <c r="I228" s="2" t="s">
        <v>42</v>
      </c>
      <c r="J228" s="2">
        <v>22.0</v>
      </c>
      <c r="K228" s="2">
        <v>268784.0</v>
      </c>
      <c r="L228" s="4">
        <v>44958.0</v>
      </c>
      <c r="M228" s="2" t="b">
        <v>0</v>
      </c>
      <c r="Q228" s="4">
        <f>IFERROR(__xludf.DUMMYFUNCTION("IF(ISDATE(O228),O228,L228)"),44958.0)</f>
        <v>44958</v>
      </c>
      <c r="R228" s="2">
        <v>22.0</v>
      </c>
      <c r="T228" s="4">
        <v>44958.0</v>
      </c>
    </row>
    <row r="229">
      <c r="A229" s="2" t="s">
        <v>329</v>
      </c>
      <c r="B229" s="2" t="s">
        <v>66</v>
      </c>
      <c r="C229" s="2" t="s">
        <v>18</v>
      </c>
      <c r="D229" s="2" t="s">
        <v>19</v>
      </c>
      <c r="E229" s="2">
        <v>46.0</v>
      </c>
      <c r="F229" s="3">
        <v>45309.0</v>
      </c>
      <c r="G229" s="3">
        <v>45487.0</v>
      </c>
      <c r="H229" s="2">
        <v>1.2225652E7</v>
      </c>
      <c r="I229" s="2">
        <v>1.2453576E7</v>
      </c>
      <c r="J229" s="2" t="s">
        <v>20</v>
      </c>
      <c r="K229" s="2" t="s">
        <v>73</v>
      </c>
      <c r="L229" s="2">
        <v>173.0</v>
      </c>
      <c r="M229" s="2">
        <v>178.0</v>
      </c>
      <c r="N229" s="2">
        <v>265775.0</v>
      </c>
      <c r="O229" s="4">
        <v>45292.0</v>
      </c>
      <c r="P229" s="2" t="b">
        <v>1</v>
      </c>
      <c r="Q229" s="4">
        <f>IFERROR(__xludf.DUMMYFUNCTION("IF(ISDATE(O229),O229,L229)"),45292.0)</f>
        <v>45292</v>
      </c>
      <c r="R229" s="2">
        <v>173.0</v>
      </c>
      <c r="T229" s="4">
        <v>45292.0</v>
      </c>
    </row>
    <row r="230">
      <c r="A230" s="2" t="s">
        <v>330</v>
      </c>
      <c r="B230" s="2" t="s">
        <v>66</v>
      </c>
      <c r="C230" s="2" t="s">
        <v>64</v>
      </c>
      <c r="D230" s="2" t="s">
        <v>19</v>
      </c>
      <c r="E230" s="2">
        <v>57.0</v>
      </c>
      <c r="F230" s="3">
        <v>44939.0</v>
      </c>
      <c r="G230" s="3">
        <v>45138.0</v>
      </c>
      <c r="H230" s="2">
        <v>2.0928138E7</v>
      </c>
      <c r="I230" s="2">
        <v>2.2526978E7</v>
      </c>
      <c r="J230" s="2" t="s">
        <v>20</v>
      </c>
      <c r="K230" s="2" t="s">
        <v>21</v>
      </c>
      <c r="L230" s="2">
        <v>133.0</v>
      </c>
      <c r="M230" s="2">
        <v>199.0</v>
      </c>
      <c r="N230" s="2">
        <v>367160.0</v>
      </c>
      <c r="O230" s="4">
        <v>44927.0</v>
      </c>
      <c r="P230" s="2" t="b">
        <v>1</v>
      </c>
      <c r="Q230" s="4">
        <f>IFERROR(__xludf.DUMMYFUNCTION("IF(ISDATE(O230),O230,L230)"),44927.0)</f>
        <v>44927</v>
      </c>
      <c r="R230" s="2">
        <v>133.0</v>
      </c>
      <c r="T230" s="4">
        <v>44927.0</v>
      </c>
    </row>
    <row r="231">
      <c r="A231" s="2" t="s">
        <v>331</v>
      </c>
      <c r="B231" s="2" t="s">
        <v>173</v>
      </c>
      <c r="C231" s="2" t="s">
        <v>57</v>
      </c>
      <c r="D231" s="2" t="s">
        <v>49</v>
      </c>
      <c r="E231" s="2">
        <v>256.0</v>
      </c>
      <c r="F231" s="3">
        <v>45867.0</v>
      </c>
      <c r="G231" s="3">
        <v>45920.0</v>
      </c>
      <c r="H231" s="2">
        <v>1.08539293E8</v>
      </c>
      <c r="I231" s="2">
        <v>1.10619441E8</v>
      </c>
      <c r="J231" s="2" t="s">
        <v>20</v>
      </c>
      <c r="K231" s="2" t="s">
        <v>30</v>
      </c>
      <c r="L231" s="2">
        <v>95.0</v>
      </c>
      <c r="M231" s="2">
        <v>53.0</v>
      </c>
      <c r="N231" s="2">
        <v>423982.0</v>
      </c>
      <c r="O231" s="4">
        <v>45839.0</v>
      </c>
      <c r="P231" s="2" t="b">
        <v>1</v>
      </c>
      <c r="Q231" s="4">
        <f>IFERROR(__xludf.DUMMYFUNCTION("IF(ISDATE(O231),O231,L231)"),45839.0)</f>
        <v>45839</v>
      </c>
      <c r="R231" s="2">
        <v>95.0</v>
      </c>
      <c r="T231" s="4">
        <v>45839.0</v>
      </c>
    </row>
    <row r="232">
      <c r="A232" s="2" t="s">
        <v>332</v>
      </c>
      <c r="B232" s="2" t="s">
        <v>123</v>
      </c>
      <c r="C232" s="2" t="s">
        <v>24</v>
      </c>
      <c r="D232" s="2" t="s">
        <v>49</v>
      </c>
      <c r="E232" s="2">
        <v>70.0</v>
      </c>
      <c r="F232" s="3">
        <v>45397.0</v>
      </c>
      <c r="G232" s="3">
        <v>45590.0</v>
      </c>
      <c r="H232" s="2">
        <v>5.9899842E7</v>
      </c>
      <c r="I232" s="2">
        <v>6.1663692E7</v>
      </c>
      <c r="J232" s="2" t="s">
        <v>20</v>
      </c>
      <c r="K232" s="2" t="s">
        <v>21</v>
      </c>
      <c r="L232" s="2">
        <v>172.0</v>
      </c>
      <c r="M232" s="2">
        <v>193.0</v>
      </c>
      <c r="N232" s="2">
        <v>855712.0</v>
      </c>
      <c r="O232" s="4">
        <v>45383.0</v>
      </c>
      <c r="P232" s="2" t="b">
        <v>1</v>
      </c>
      <c r="Q232" s="4">
        <f>IFERROR(__xludf.DUMMYFUNCTION("IF(ISDATE(O232),O232,L232)"),45383.0)</f>
        <v>45383</v>
      </c>
      <c r="R232" s="2">
        <v>172.0</v>
      </c>
      <c r="T232" s="4">
        <v>45383.0</v>
      </c>
    </row>
    <row r="233">
      <c r="A233" s="2" t="s">
        <v>333</v>
      </c>
      <c r="B233" s="2" t="s">
        <v>119</v>
      </c>
      <c r="C233" s="2" t="s">
        <v>101</v>
      </c>
      <c r="D233" s="2" t="s">
        <v>19</v>
      </c>
      <c r="E233" s="2">
        <v>42.0</v>
      </c>
      <c r="F233" s="3">
        <v>45313.0</v>
      </c>
      <c r="G233" s="3">
        <v>45342.0</v>
      </c>
      <c r="H233" s="2">
        <v>1.0648195E7</v>
      </c>
      <c r="I233" s="2">
        <v>1.0993784E7</v>
      </c>
      <c r="J233" s="2" t="s">
        <v>20</v>
      </c>
      <c r="K233" s="2" t="s">
        <v>21</v>
      </c>
      <c r="L233" s="2">
        <v>132.0</v>
      </c>
      <c r="M233" s="2">
        <v>29.0</v>
      </c>
      <c r="N233" s="2">
        <v>253528.0</v>
      </c>
      <c r="O233" s="4">
        <v>45292.0</v>
      </c>
      <c r="P233" s="2" t="b">
        <v>1</v>
      </c>
      <c r="Q233" s="4">
        <f>IFERROR(__xludf.DUMMYFUNCTION("IF(ISDATE(O233),O233,L233)"),45292.0)</f>
        <v>45292</v>
      </c>
      <c r="R233" s="2">
        <v>132.0</v>
      </c>
      <c r="T233" s="4">
        <v>45292.0</v>
      </c>
    </row>
    <row r="234">
      <c r="A234" s="2" t="s">
        <v>334</v>
      </c>
      <c r="B234" s="2" t="s">
        <v>86</v>
      </c>
      <c r="C234" s="2" t="s">
        <v>40</v>
      </c>
      <c r="D234" s="2" t="s">
        <v>67</v>
      </c>
      <c r="E234" s="2">
        <v>43.0</v>
      </c>
      <c r="F234" s="3">
        <v>45868.0</v>
      </c>
      <c r="G234" s="3">
        <v>45937.0</v>
      </c>
      <c r="H234" s="2">
        <v>9109081.0</v>
      </c>
      <c r="I234" s="2">
        <v>9389331.0</v>
      </c>
      <c r="J234" s="2" t="s">
        <v>20</v>
      </c>
      <c r="K234" s="2" t="s">
        <v>25</v>
      </c>
      <c r="L234" s="2">
        <v>126.0</v>
      </c>
      <c r="M234" s="2">
        <v>69.0</v>
      </c>
      <c r="N234" s="2">
        <v>211839.0</v>
      </c>
      <c r="O234" s="4">
        <v>45839.0</v>
      </c>
      <c r="P234" s="2" t="b">
        <v>1</v>
      </c>
      <c r="Q234" s="4">
        <f>IFERROR(__xludf.DUMMYFUNCTION("IF(ISDATE(O234),O234,L234)"),45839.0)</f>
        <v>45839</v>
      </c>
      <c r="R234" s="2">
        <v>126.0</v>
      </c>
      <c r="T234" s="4">
        <v>45839.0</v>
      </c>
    </row>
    <row r="235">
      <c r="A235" s="2" t="s">
        <v>335</v>
      </c>
      <c r="B235" s="2" t="s">
        <v>63</v>
      </c>
      <c r="C235" s="2" t="s">
        <v>24</v>
      </c>
      <c r="D235" s="2" t="s">
        <v>33</v>
      </c>
      <c r="E235" s="2">
        <v>108.0</v>
      </c>
      <c r="F235" s="3">
        <v>45504.0</v>
      </c>
      <c r="G235" s="3">
        <v>45564.0</v>
      </c>
      <c r="H235" s="2">
        <v>8.5749759E7</v>
      </c>
      <c r="I235" s="2">
        <v>8.3204496E7</v>
      </c>
      <c r="J235" s="2" t="s">
        <v>20</v>
      </c>
      <c r="K235" s="2" t="s">
        <v>42</v>
      </c>
      <c r="L235" s="2">
        <v>155.0</v>
      </c>
      <c r="M235" s="2">
        <v>60.0</v>
      </c>
      <c r="N235" s="2">
        <v>793979.0</v>
      </c>
      <c r="O235" s="4">
        <v>45474.0</v>
      </c>
      <c r="P235" s="2" t="b">
        <v>1</v>
      </c>
      <c r="Q235" s="4">
        <f>IFERROR(__xludf.DUMMYFUNCTION("IF(ISDATE(O235),O235,L235)"),45474.0)</f>
        <v>45474</v>
      </c>
      <c r="R235" s="2">
        <v>155.0</v>
      </c>
      <c r="T235" s="4">
        <v>45474.0</v>
      </c>
    </row>
    <row r="236">
      <c r="A236" s="2" t="s">
        <v>336</v>
      </c>
      <c r="B236" s="2" t="s">
        <v>99</v>
      </c>
      <c r="C236" s="2" t="s">
        <v>28</v>
      </c>
      <c r="D236" s="2" t="s">
        <v>49</v>
      </c>
      <c r="E236" s="2">
        <v>287.0</v>
      </c>
      <c r="F236" s="3">
        <v>45093.0</v>
      </c>
      <c r="G236" s="3">
        <v>45253.0</v>
      </c>
      <c r="H236" s="2">
        <v>4.04323782E8</v>
      </c>
      <c r="I236" s="2">
        <v>3.97153122E8</v>
      </c>
      <c r="J236" s="2" t="s">
        <v>20</v>
      </c>
      <c r="K236" s="2" t="s">
        <v>25</v>
      </c>
      <c r="L236" s="2">
        <v>89.0</v>
      </c>
      <c r="M236" s="2">
        <v>160.0</v>
      </c>
      <c r="N236" s="2">
        <v>1408794.0</v>
      </c>
      <c r="O236" s="4">
        <v>45078.0</v>
      </c>
      <c r="P236" s="2" t="b">
        <v>1</v>
      </c>
      <c r="Q236" s="4">
        <f>IFERROR(__xludf.DUMMYFUNCTION("IF(ISDATE(O236),O236,L236)"),45078.0)</f>
        <v>45078</v>
      </c>
      <c r="R236" s="2">
        <v>89.0</v>
      </c>
      <c r="T236" s="4">
        <v>45078.0</v>
      </c>
    </row>
    <row r="237">
      <c r="A237" s="2" t="s">
        <v>337</v>
      </c>
      <c r="B237" s="2" t="s">
        <v>165</v>
      </c>
      <c r="C237" s="2" t="s">
        <v>24</v>
      </c>
      <c r="D237" s="2" t="s">
        <v>102</v>
      </c>
      <c r="E237" s="2">
        <v>110.0</v>
      </c>
      <c r="F237" s="3">
        <v>45924.0</v>
      </c>
      <c r="G237" s="3">
        <v>45964.0</v>
      </c>
      <c r="H237" s="2">
        <v>9.1594655E7</v>
      </c>
      <c r="I237" s="2">
        <v>9.6557981E7</v>
      </c>
      <c r="J237" s="2" t="s">
        <v>20</v>
      </c>
      <c r="K237" s="2" t="s">
        <v>30</v>
      </c>
      <c r="L237" s="2">
        <v>159.0</v>
      </c>
      <c r="M237" s="2">
        <v>40.0</v>
      </c>
      <c r="N237" s="2">
        <v>832679.0</v>
      </c>
      <c r="O237" s="4">
        <v>45901.0</v>
      </c>
      <c r="P237" s="2" t="b">
        <v>1</v>
      </c>
      <c r="Q237" s="4">
        <f>IFERROR(__xludf.DUMMYFUNCTION("IF(ISDATE(O237),O237,L237)"),45901.0)</f>
        <v>45901</v>
      </c>
      <c r="R237" s="2">
        <v>159.0</v>
      </c>
      <c r="T237" s="4">
        <v>45901.0</v>
      </c>
    </row>
    <row r="238">
      <c r="A238" s="2" t="s">
        <v>338</v>
      </c>
      <c r="B238" s="2" t="s">
        <v>54</v>
      </c>
      <c r="C238" s="2" t="s">
        <v>57</v>
      </c>
      <c r="D238" s="2" t="s">
        <v>29</v>
      </c>
      <c r="E238" s="2">
        <v>3649.0</v>
      </c>
      <c r="F238" s="3">
        <v>45576.0</v>
      </c>
      <c r="G238" s="3">
        <v>45706.0</v>
      </c>
      <c r="H238" s="2">
        <v>5.49753811E8</v>
      </c>
      <c r="I238" s="2">
        <v>5.37070876E8</v>
      </c>
      <c r="J238" s="2" t="s">
        <v>20</v>
      </c>
      <c r="K238" s="2" t="s">
        <v>73</v>
      </c>
      <c r="L238" s="2">
        <v>115.0</v>
      </c>
      <c r="M238" s="2">
        <v>130.0</v>
      </c>
      <c r="N238" s="2">
        <v>150659.0</v>
      </c>
      <c r="O238" s="6">
        <v>45566.0</v>
      </c>
      <c r="P238" s="2" t="b">
        <v>1</v>
      </c>
      <c r="Q238" s="6">
        <f>IFERROR(__xludf.DUMMYFUNCTION("IF(ISDATE(O238),O238,L238)"),45566.0)</f>
        <v>45566</v>
      </c>
      <c r="R238" s="2">
        <v>115.0</v>
      </c>
      <c r="T238" s="6">
        <v>45566.0</v>
      </c>
    </row>
    <row r="239">
      <c r="A239" s="2" t="s">
        <v>339</v>
      </c>
      <c r="B239" s="2" t="s">
        <v>86</v>
      </c>
      <c r="C239" s="2" t="s">
        <v>28</v>
      </c>
      <c r="D239" s="2" t="s">
        <v>29</v>
      </c>
      <c r="E239" s="2">
        <v>3513.0</v>
      </c>
      <c r="F239" s="3">
        <v>45229.0</v>
      </c>
      <c r="G239" s="2">
        <v>1.181673158E9</v>
      </c>
      <c r="H239" s="2" t="s">
        <v>34</v>
      </c>
      <c r="I239" s="2" t="s">
        <v>30</v>
      </c>
      <c r="J239" s="2">
        <v>44.0</v>
      </c>
      <c r="K239" s="2">
        <v>336372.0</v>
      </c>
      <c r="L239" s="6">
        <v>45200.0</v>
      </c>
      <c r="M239" s="2" t="b">
        <v>0</v>
      </c>
      <c r="Q239" s="6">
        <f>IFERROR(__xludf.DUMMYFUNCTION("IF(ISDATE(O239),O239,L239)"),45200.0)</f>
        <v>45200</v>
      </c>
      <c r="R239" s="2">
        <v>44.0</v>
      </c>
      <c r="T239" s="6">
        <v>45200.0</v>
      </c>
    </row>
    <row r="240">
      <c r="A240" s="2" t="s">
        <v>340</v>
      </c>
      <c r="B240" s="2" t="s">
        <v>106</v>
      </c>
      <c r="C240" s="2" t="s">
        <v>24</v>
      </c>
      <c r="D240" s="2" t="s">
        <v>102</v>
      </c>
      <c r="E240" s="2">
        <v>149.0</v>
      </c>
      <c r="F240" s="3">
        <v>45036.0</v>
      </c>
      <c r="G240" s="3">
        <v>45129.0</v>
      </c>
      <c r="H240" s="2">
        <v>1.24439459E8</v>
      </c>
      <c r="I240" s="2">
        <v>1.29642949E8</v>
      </c>
      <c r="J240" s="2" t="s">
        <v>20</v>
      </c>
      <c r="K240" s="2" t="s">
        <v>21</v>
      </c>
      <c r="L240" s="2">
        <v>38.0</v>
      </c>
      <c r="M240" s="2">
        <v>93.0</v>
      </c>
      <c r="N240" s="2">
        <v>835164.0</v>
      </c>
      <c r="O240" s="4">
        <v>45017.0</v>
      </c>
      <c r="P240" s="2" t="b">
        <v>1</v>
      </c>
      <c r="Q240" s="4">
        <f>IFERROR(__xludf.DUMMYFUNCTION("IF(ISDATE(O240),O240,L240)"),45017.0)</f>
        <v>45017</v>
      </c>
      <c r="R240" s="2">
        <v>38.0</v>
      </c>
      <c r="T240" s="4">
        <v>45017.0</v>
      </c>
    </row>
    <row r="241">
      <c r="A241" s="2" t="s">
        <v>341</v>
      </c>
      <c r="B241" s="2" t="s">
        <v>275</v>
      </c>
      <c r="C241" s="2" t="s">
        <v>28</v>
      </c>
      <c r="D241" s="2" t="s">
        <v>49</v>
      </c>
      <c r="E241" s="2">
        <v>164.0</v>
      </c>
      <c r="F241" s="3">
        <v>45451.0</v>
      </c>
      <c r="G241" s="3">
        <v>45472.0</v>
      </c>
      <c r="H241" s="2">
        <v>1.72882005E8</v>
      </c>
      <c r="I241" s="2">
        <v>1.74381785E8</v>
      </c>
      <c r="J241" s="2" t="s">
        <v>20</v>
      </c>
      <c r="K241" s="2" t="s">
        <v>25</v>
      </c>
      <c r="L241" s="2">
        <v>158.0</v>
      </c>
      <c r="M241" s="2">
        <v>21.0</v>
      </c>
      <c r="N241" s="2">
        <v>1054159.0</v>
      </c>
      <c r="O241" s="4">
        <v>45444.0</v>
      </c>
      <c r="P241" s="2" t="b">
        <v>1</v>
      </c>
      <c r="Q241" s="4">
        <f>IFERROR(__xludf.DUMMYFUNCTION("IF(ISDATE(O241),O241,L241)"),45444.0)</f>
        <v>45444</v>
      </c>
      <c r="R241" s="2">
        <v>158.0</v>
      </c>
      <c r="T241" s="4">
        <v>45444.0</v>
      </c>
    </row>
    <row r="242">
      <c r="A242" s="2" t="s">
        <v>342</v>
      </c>
      <c r="B242" s="2" t="s">
        <v>39</v>
      </c>
      <c r="C242" s="2" t="s">
        <v>57</v>
      </c>
      <c r="D242" s="2" t="s">
        <v>49</v>
      </c>
      <c r="E242" s="2">
        <v>53.0</v>
      </c>
      <c r="F242" s="3">
        <v>45324.0</v>
      </c>
      <c r="G242" s="2">
        <v>2.8741029E7</v>
      </c>
      <c r="H242" s="2" t="s">
        <v>34</v>
      </c>
      <c r="I242" s="2" t="s">
        <v>42</v>
      </c>
      <c r="J242" s="2">
        <v>151.0</v>
      </c>
      <c r="K242" s="2">
        <v>542284.0</v>
      </c>
      <c r="L242" s="4">
        <v>45323.0</v>
      </c>
      <c r="M242" s="2" t="b">
        <v>0</v>
      </c>
      <c r="Q242" s="4">
        <f>IFERROR(__xludf.DUMMYFUNCTION("IF(ISDATE(O242),O242,L242)"),45323.0)</f>
        <v>45323</v>
      </c>
      <c r="R242" s="2">
        <v>151.0</v>
      </c>
      <c r="T242" s="4">
        <v>45323.0</v>
      </c>
    </row>
    <row r="243">
      <c r="A243" s="2" t="s">
        <v>343</v>
      </c>
      <c r="B243" s="2" t="s">
        <v>160</v>
      </c>
      <c r="C243" s="2" t="s">
        <v>64</v>
      </c>
      <c r="D243" s="2" t="s">
        <v>49</v>
      </c>
      <c r="E243" s="2">
        <v>93.0</v>
      </c>
      <c r="F243" s="3">
        <v>45235.0</v>
      </c>
      <c r="G243" s="3">
        <v>45287.0</v>
      </c>
      <c r="H243" s="2">
        <v>5.1284228E7</v>
      </c>
      <c r="I243" s="2">
        <v>5.0748215E7</v>
      </c>
      <c r="J243" s="2" t="s">
        <v>20</v>
      </c>
      <c r="K243" s="2" t="s">
        <v>73</v>
      </c>
      <c r="L243" s="2">
        <v>81.0</v>
      </c>
      <c r="M243" s="2">
        <v>52.0</v>
      </c>
      <c r="N243" s="2">
        <v>551443.0</v>
      </c>
      <c r="O243" s="6">
        <v>45231.0</v>
      </c>
      <c r="P243" s="2" t="b">
        <v>1</v>
      </c>
      <c r="Q243" s="6">
        <f>IFERROR(__xludf.DUMMYFUNCTION("IF(ISDATE(O243),O243,L243)"),45231.0)</f>
        <v>45231</v>
      </c>
      <c r="R243" s="2">
        <v>81.0</v>
      </c>
      <c r="T243" s="6">
        <v>45231.0</v>
      </c>
    </row>
    <row r="244">
      <c r="A244" s="2" t="s">
        <v>344</v>
      </c>
      <c r="B244" s="2" t="s">
        <v>17</v>
      </c>
      <c r="C244" s="2" t="s">
        <v>64</v>
      </c>
      <c r="D244" s="2" t="s">
        <v>33</v>
      </c>
      <c r="E244" s="2">
        <v>88.0</v>
      </c>
      <c r="F244" s="3">
        <v>45665.0</v>
      </c>
      <c r="G244" s="3">
        <v>45832.0</v>
      </c>
      <c r="H244" s="2">
        <v>4.3428033E7</v>
      </c>
      <c r="I244" s="2">
        <v>4.3135235E7</v>
      </c>
      <c r="J244" s="2" t="s">
        <v>20</v>
      </c>
      <c r="K244" s="2" t="s">
        <v>42</v>
      </c>
      <c r="L244" s="2">
        <v>82.0</v>
      </c>
      <c r="M244" s="2">
        <v>167.0</v>
      </c>
      <c r="N244" s="2">
        <v>493500.0</v>
      </c>
      <c r="O244" s="4">
        <v>45658.0</v>
      </c>
      <c r="P244" s="2" t="b">
        <v>1</v>
      </c>
      <c r="Q244" s="4">
        <f>IFERROR(__xludf.DUMMYFUNCTION("IF(ISDATE(O244),O244,L244)"),45658.0)</f>
        <v>45658</v>
      </c>
      <c r="R244" s="2">
        <v>82.0</v>
      </c>
      <c r="T244" s="4">
        <v>45658.0</v>
      </c>
    </row>
    <row r="245">
      <c r="A245" s="2" t="s">
        <v>345</v>
      </c>
      <c r="B245" s="2" t="s">
        <v>208</v>
      </c>
      <c r="C245" s="2" t="s">
        <v>28</v>
      </c>
      <c r="D245" s="2" t="s">
        <v>49</v>
      </c>
      <c r="E245" s="2">
        <v>135.0</v>
      </c>
      <c r="F245" s="3">
        <v>45750.0</v>
      </c>
      <c r="G245" s="2">
        <v>1.58062649E8</v>
      </c>
      <c r="H245" s="2" t="s">
        <v>69</v>
      </c>
      <c r="I245" s="2" t="s">
        <v>25</v>
      </c>
      <c r="J245" s="2">
        <v>39.0</v>
      </c>
      <c r="K245" s="2">
        <v>1170834.0</v>
      </c>
      <c r="L245" s="4">
        <v>45748.0</v>
      </c>
      <c r="M245" s="2" t="b">
        <v>0</v>
      </c>
      <c r="Q245" s="4">
        <f>IFERROR(__xludf.DUMMYFUNCTION("IF(ISDATE(O245),O245,L245)"),45748.0)</f>
        <v>45748</v>
      </c>
      <c r="R245" s="2">
        <v>39.0</v>
      </c>
      <c r="T245" s="4">
        <v>45748.0</v>
      </c>
    </row>
    <row r="246">
      <c r="A246" s="2" t="s">
        <v>346</v>
      </c>
      <c r="B246" s="2" t="s">
        <v>95</v>
      </c>
      <c r="C246" s="2" t="s">
        <v>24</v>
      </c>
      <c r="D246" s="2" t="s">
        <v>29</v>
      </c>
      <c r="E246" s="2">
        <v>2045.0</v>
      </c>
      <c r="F246" s="3">
        <v>45108.0</v>
      </c>
      <c r="G246" s="2">
        <v>5.78171466E8</v>
      </c>
      <c r="H246" s="2" t="s">
        <v>69</v>
      </c>
      <c r="I246" s="2" t="s">
        <v>73</v>
      </c>
      <c r="J246" s="2">
        <v>152.0</v>
      </c>
      <c r="K246" s="2">
        <v>282724.0</v>
      </c>
      <c r="L246" s="4">
        <v>45108.0</v>
      </c>
      <c r="M246" s="2" t="b">
        <v>0</v>
      </c>
      <c r="Q246" s="4">
        <f>IFERROR(__xludf.DUMMYFUNCTION("IF(ISDATE(O246),O246,L246)"),45108.0)</f>
        <v>45108</v>
      </c>
      <c r="R246" s="2">
        <v>152.0</v>
      </c>
      <c r="T246" s="4">
        <v>45108.0</v>
      </c>
    </row>
    <row r="247">
      <c r="A247" s="2" t="s">
        <v>347</v>
      </c>
      <c r="B247" s="2" t="s">
        <v>39</v>
      </c>
      <c r="C247" s="2" t="s">
        <v>57</v>
      </c>
      <c r="D247" s="2" t="s">
        <v>67</v>
      </c>
      <c r="E247" s="2">
        <v>37.0</v>
      </c>
      <c r="F247" s="3">
        <v>45300.0</v>
      </c>
      <c r="G247" s="3">
        <v>45459.0</v>
      </c>
      <c r="H247" s="2">
        <v>7707177.0</v>
      </c>
      <c r="I247" s="2">
        <v>8320378.0</v>
      </c>
      <c r="J247" s="2" t="s">
        <v>20</v>
      </c>
      <c r="K247" s="2" t="s">
        <v>42</v>
      </c>
      <c r="L247" s="2">
        <v>179.0</v>
      </c>
      <c r="M247" s="2">
        <v>159.0</v>
      </c>
      <c r="N247" s="2">
        <v>208302.0</v>
      </c>
      <c r="O247" s="4">
        <v>45292.0</v>
      </c>
      <c r="P247" s="2" t="b">
        <v>1</v>
      </c>
      <c r="Q247" s="4">
        <f>IFERROR(__xludf.DUMMYFUNCTION("IF(ISDATE(O247),O247,L247)"),45292.0)</f>
        <v>45292</v>
      </c>
      <c r="R247" s="2">
        <v>179.0</v>
      </c>
      <c r="T247" s="4">
        <v>45292.0</v>
      </c>
    </row>
    <row r="248">
      <c r="A248" s="2" t="s">
        <v>348</v>
      </c>
      <c r="B248" s="2" t="s">
        <v>349</v>
      </c>
      <c r="C248" s="2" t="s">
        <v>57</v>
      </c>
      <c r="D248" s="2" t="s">
        <v>19</v>
      </c>
      <c r="E248" s="2">
        <v>70.0</v>
      </c>
      <c r="F248" s="3">
        <v>45141.0</v>
      </c>
      <c r="G248" s="3">
        <v>45230.0</v>
      </c>
      <c r="H248" s="2">
        <v>2.2515042E7</v>
      </c>
      <c r="I248" s="2">
        <v>2.0962976E7</v>
      </c>
      <c r="J248" s="2" t="s">
        <v>20</v>
      </c>
      <c r="K248" s="2" t="s">
        <v>73</v>
      </c>
      <c r="L248" s="2">
        <v>177.0</v>
      </c>
      <c r="M248" s="2">
        <v>89.0</v>
      </c>
      <c r="N248" s="2">
        <v>321643.0</v>
      </c>
      <c r="O248" s="4">
        <v>45139.0</v>
      </c>
      <c r="P248" s="2" t="b">
        <v>1</v>
      </c>
      <c r="Q248" s="4">
        <f>IFERROR(__xludf.DUMMYFUNCTION("IF(ISDATE(O248),O248,L248)"),45139.0)</f>
        <v>45139</v>
      </c>
      <c r="R248" s="2">
        <v>177.0</v>
      </c>
      <c r="T248" s="4">
        <v>45139.0</v>
      </c>
    </row>
    <row r="249">
      <c r="A249" s="2" t="s">
        <v>350</v>
      </c>
      <c r="B249" s="2" t="s">
        <v>220</v>
      </c>
      <c r="C249" s="2" t="s">
        <v>64</v>
      </c>
      <c r="D249" s="2" t="s">
        <v>37</v>
      </c>
      <c r="E249" s="2">
        <v>423.0</v>
      </c>
      <c r="F249" s="3">
        <v>45084.0</v>
      </c>
      <c r="G249" s="2">
        <v>3.68344251E8</v>
      </c>
      <c r="H249" s="2" t="s">
        <v>69</v>
      </c>
      <c r="I249" s="2" t="s">
        <v>25</v>
      </c>
      <c r="J249" s="2">
        <v>127.0</v>
      </c>
      <c r="K249" s="2">
        <v>870790.0</v>
      </c>
      <c r="L249" s="4">
        <v>45078.0</v>
      </c>
      <c r="M249" s="2" t="b">
        <v>0</v>
      </c>
      <c r="Q249" s="4">
        <f>IFERROR(__xludf.DUMMYFUNCTION("IF(ISDATE(O249),O249,L249)"),45078.0)</f>
        <v>45078</v>
      </c>
      <c r="R249" s="2">
        <v>127.0</v>
      </c>
      <c r="T249" s="4">
        <v>45078.0</v>
      </c>
    </row>
    <row r="250">
      <c r="A250" s="2" t="s">
        <v>351</v>
      </c>
      <c r="B250" s="2" t="s">
        <v>52</v>
      </c>
      <c r="C250" s="2" t="s">
        <v>64</v>
      </c>
      <c r="D250" s="2" t="s">
        <v>58</v>
      </c>
      <c r="E250" s="2">
        <v>179.0</v>
      </c>
      <c r="F250" s="3">
        <v>44964.0</v>
      </c>
      <c r="G250" s="2">
        <v>1.00181572E8</v>
      </c>
      <c r="H250" s="2" t="s">
        <v>69</v>
      </c>
      <c r="I250" s="2" t="s">
        <v>25</v>
      </c>
      <c r="J250" s="2">
        <v>157.0</v>
      </c>
      <c r="K250" s="2">
        <v>559674.0</v>
      </c>
      <c r="L250" s="4">
        <v>44958.0</v>
      </c>
      <c r="M250" s="2" t="b">
        <v>0</v>
      </c>
      <c r="Q250" s="4">
        <f>IFERROR(__xludf.DUMMYFUNCTION("IF(ISDATE(O250),O250,L250)"),44958.0)</f>
        <v>44958</v>
      </c>
      <c r="R250" s="2">
        <v>157.0</v>
      </c>
      <c r="T250" s="4">
        <v>44958.0</v>
      </c>
    </row>
    <row r="251">
      <c r="A251" s="2" t="s">
        <v>352</v>
      </c>
      <c r="B251" s="2" t="s">
        <v>163</v>
      </c>
      <c r="C251" s="2" t="s">
        <v>18</v>
      </c>
      <c r="D251" s="2" t="s">
        <v>33</v>
      </c>
      <c r="E251" s="2">
        <v>71.0</v>
      </c>
      <c r="F251" s="3">
        <v>45607.0</v>
      </c>
      <c r="G251" s="3">
        <v>45787.0</v>
      </c>
      <c r="H251" s="2">
        <v>2.1770014E7</v>
      </c>
      <c r="I251" s="2">
        <v>2.1990223E7</v>
      </c>
      <c r="J251" s="2" t="s">
        <v>20</v>
      </c>
      <c r="K251" s="2" t="s">
        <v>73</v>
      </c>
      <c r="L251" s="2">
        <v>89.0</v>
      </c>
      <c r="M251" s="2">
        <v>180.0</v>
      </c>
      <c r="N251" s="2">
        <v>306620.0</v>
      </c>
      <c r="O251" s="6">
        <v>45597.0</v>
      </c>
      <c r="P251" s="2" t="b">
        <v>1</v>
      </c>
      <c r="Q251" s="6">
        <f>IFERROR(__xludf.DUMMYFUNCTION("IF(ISDATE(O251),O251,L251)"),45597.0)</f>
        <v>45597</v>
      </c>
      <c r="R251" s="2">
        <v>89.0</v>
      </c>
      <c r="T251" s="6">
        <v>45597.0</v>
      </c>
    </row>
    <row r="252">
      <c r="A252" s="2" t="s">
        <v>353</v>
      </c>
      <c r="B252" s="2" t="s">
        <v>117</v>
      </c>
      <c r="C252" s="2" t="s">
        <v>101</v>
      </c>
      <c r="D252" s="2" t="s">
        <v>49</v>
      </c>
      <c r="E252" s="2">
        <v>77.0</v>
      </c>
      <c r="F252" s="3">
        <v>45191.0</v>
      </c>
      <c r="G252" s="3">
        <v>45397.0</v>
      </c>
      <c r="H252" s="2">
        <v>3.0780151E7</v>
      </c>
      <c r="I252" s="2">
        <v>3.1176689E7</v>
      </c>
      <c r="J252" s="2" t="s">
        <v>20</v>
      </c>
      <c r="K252" s="2" t="s">
        <v>25</v>
      </c>
      <c r="L252" s="2">
        <v>61.0</v>
      </c>
      <c r="M252" s="2">
        <v>206.0</v>
      </c>
      <c r="N252" s="2">
        <v>399742.0</v>
      </c>
      <c r="O252" s="4">
        <v>45170.0</v>
      </c>
      <c r="P252" s="2" t="b">
        <v>1</v>
      </c>
      <c r="Q252" s="4">
        <f>IFERROR(__xludf.DUMMYFUNCTION("IF(ISDATE(O252),O252,L252)"),45170.0)</f>
        <v>45170</v>
      </c>
      <c r="R252" s="2">
        <v>61.0</v>
      </c>
      <c r="T252" s="4">
        <v>45170.0</v>
      </c>
    </row>
    <row r="253">
      <c r="A253" s="2" t="s">
        <v>354</v>
      </c>
      <c r="B253" s="2" t="s">
        <v>137</v>
      </c>
      <c r="C253" s="2" t="s">
        <v>24</v>
      </c>
      <c r="D253" s="2" t="s">
        <v>49</v>
      </c>
      <c r="E253" s="2">
        <v>168.0</v>
      </c>
      <c r="F253" s="3">
        <v>45439.0</v>
      </c>
      <c r="G253" s="3">
        <v>45460.0</v>
      </c>
      <c r="H253" s="2">
        <v>1.59470417E8</v>
      </c>
      <c r="I253" s="2">
        <v>1.54250815E8</v>
      </c>
      <c r="J253" s="2" t="s">
        <v>20</v>
      </c>
      <c r="K253" s="2" t="s">
        <v>21</v>
      </c>
      <c r="L253" s="2">
        <v>34.0</v>
      </c>
      <c r="M253" s="2">
        <v>21.0</v>
      </c>
      <c r="N253" s="2">
        <v>949229.0</v>
      </c>
      <c r="O253" s="4">
        <v>45413.0</v>
      </c>
      <c r="P253" s="2" t="b">
        <v>1</v>
      </c>
      <c r="Q253" s="4">
        <f>IFERROR(__xludf.DUMMYFUNCTION("IF(ISDATE(O253),O253,L253)"),45413.0)</f>
        <v>45413</v>
      </c>
      <c r="R253" s="2">
        <v>34.0</v>
      </c>
      <c r="T253" s="4">
        <v>45413.0</v>
      </c>
    </row>
    <row r="254">
      <c r="A254" s="2" t="s">
        <v>355</v>
      </c>
      <c r="B254" s="2" t="s">
        <v>256</v>
      </c>
      <c r="C254" s="2" t="s">
        <v>40</v>
      </c>
      <c r="D254" s="2" t="s">
        <v>102</v>
      </c>
      <c r="E254" s="2">
        <v>144.0</v>
      </c>
      <c r="F254" s="3">
        <v>45393.0</v>
      </c>
      <c r="G254" s="2">
        <v>4.6942667E7</v>
      </c>
      <c r="H254" s="2" t="s">
        <v>34</v>
      </c>
      <c r="I254" s="2" t="s">
        <v>73</v>
      </c>
      <c r="J254" s="2">
        <v>29.0</v>
      </c>
      <c r="K254" s="2">
        <v>325991.0</v>
      </c>
      <c r="L254" s="4">
        <v>45383.0</v>
      </c>
      <c r="M254" s="2" t="b">
        <v>0</v>
      </c>
      <c r="Q254" s="4">
        <f>IFERROR(__xludf.DUMMYFUNCTION("IF(ISDATE(O254),O254,L254)"),45383.0)</f>
        <v>45383</v>
      </c>
      <c r="R254" s="2">
        <v>29.0</v>
      </c>
      <c r="T254" s="4">
        <v>45383.0</v>
      </c>
    </row>
    <row r="255">
      <c r="A255" s="2" t="s">
        <v>356</v>
      </c>
      <c r="B255" s="2" t="s">
        <v>99</v>
      </c>
      <c r="C255" s="2" t="s">
        <v>24</v>
      </c>
      <c r="D255" s="2" t="s">
        <v>81</v>
      </c>
      <c r="E255" s="2">
        <v>3012.0</v>
      </c>
      <c r="F255" s="3">
        <v>44972.0</v>
      </c>
      <c r="G255" s="2">
        <v>1.009090113E9</v>
      </c>
      <c r="H255" s="2" t="s">
        <v>41</v>
      </c>
      <c r="I255" s="2" t="s">
        <v>30</v>
      </c>
      <c r="J255" s="2">
        <v>170.0</v>
      </c>
      <c r="K255" s="2">
        <v>335023.0</v>
      </c>
      <c r="L255" s="4">
        <v>44958.0</v>
      </c>
      <c r="M255" s="2" t="b">
        <v>0</v>
      </c>
      <c r="Q255" s="4">
        <f>IFERROR(__xludf.DUMMYFUNCTION("IF(ISDATE(O255),O255,L255)"),44958.0)</f>
        <v>44958</v>
      </c>
      <c r="R255" s="2">
        <v>170.0</v>
      </c>
      <c r="T255" s="4">
        <v>44958.0</v>
      </c>
    </row>
    <row r="256">
      <c r="A256" s="2" t="s">
        <v>357</v>
      </c>
      <c r="B256" s="2" t="s">
        <v>84</v>
      </c>
      <c r="C256" s="2" t="s">
        <v>28</v>
      </c>
      <c r="D256" s="2" t="s">
        <v>102</v>
      </c>
      <c r="E256" s="2">
        <v>131.0</v>
      </c>
      <c r="F256" s="3">
        <v>45492.0</v>
      </c>
      <c r="G256" s="3">
        <v>45650.0</v>
      </c>
      <c r="H256" s="2">
        <v>1.4204749E8</v>
      </c>
      <c r="I256" s="2">
        <v>1.41185072E8</v>
      </c>
      <c r="J256" s="2" t="s">
        <v>20</v>
      </c>
      <c r="K256" s="2" t="s">
        <v>73</v>
      </c>
      <c r="L256" s="2">
        <v>166.0</v>
      </c>
      <c r="M256" s="2">
        <v>158.0</v>
      </c>
      <c r="N256" s="2">
        <v>1084332.0</v>
      </c>
      <c r="O256" s="4">
        <v>45474.0</v>
      </c>
      <c r="P256" s="2" t="b">
        <v>1</v>
      </c>
      <c r="Q256" s="4">
        <f>IFERROR(__xludf.DUMMYFUNCTION("IF(ISDATE(O256),O256,L256)"),45474.0)</f>
        <v>45474</v>
      </c>
      <c r="R256" s="2">
        <v>166.0</v>
      </c>
      <c r="T256" s="4">
        <v>45474.0</v>
      </c>
    </row>
    <row r="257">
      <c r="A257" s="2" t="s">
        <v>358</v>
      </c>
      <c r="B257" s="2" t="s">
        <v>78</v>
      </c>
      <c r="C257" s="2" t="s">
        <v>28</v>
      </c>
      <c r="D257" s="2" t="s">
        <v>49</v>
      </c>
      <c r="E257" s="2">
        <v>151.0</v>
      </c>
      <c r="F257" s="3">
        <v>45555.0</v>
      </c>
      <c r="G257" s="2">
        <v>1.95301694E8</v>
      </c>
      <c r="H257" s="2" t="s">
        <v>69</v>
      </c>
      <c r="I257" s="2" t="s">
        <v>73</v>
      </c>
      <c r="J257" s="2">
        <v>6.0</v>
      </c>
      <c r="K257" s="2">
        <v>1293389.0</v>
      </c>
      <c r="L257" s="4">
        <v>45536.0</v>
      </c>
      <c r="M257" s="2" t="b">
        <v>0</v>
      </c>
      <c r="Q257" s="4">
        <f>IFERROR(__xludf.DUMMYFUNCTION("IF(ISDATE(O257),O257,L257)"),45536.0)</f>
        <v>45536</v>
      </c>
      <c r="R257" s="2">
        <v>6.0</v>
      </c>
      <c r="T257" s="4">
        <v>45536.0</v>
      </c>
    </row>
    <row r="258">
      <c r="A258" s="2" t="s">
        <v>359</v>
      </c>
      <c r="B258" s="2" t="s">
        <v>86</v>
      </c>
      <c r="C258" s="2" t="s">
        <v>18</v>
      </c>
      <c r="D258" s="2" t="s">
        <v>72</v>
      </c>
      <c r="E258" s="2">
        <v>251.0</v>
      </c>
      <c r="F258" s="3">
        <v>45031.0</v>
      </c>
      <c r="G258" s="2">
        <v>1.16988866E8</v>
      </c>
      <c r="H258" s="2" t="s">
        <v>34</v>
      </c>
      <c r="I258" s="2" t="s">
        <v>30</v>
      </c>
      <c r="J258" s="2">
        <v>55.0</v>
      </c>
      <c r="K258" s="2">
        <v>466091.0</v>
      </c>
      <c r="L258" s="4">
        <v>45017.0</v>
      </c>
      <c r="M258" s="2" t="b">
        <v>0</v>
      </c>
      <c r="Q258" s="4">
        <f>IFERROR(__xludf.DUMMYFUNCTION("IF(ISDATE(O258),O258,L258)"),45017.0)</f>
        <v>45017</v>
      </c>
      <c r="R258" s="2">
        <v>55.0</v>
      </c>
      <c r="T258" s="4">
        <v>45017.0</v>
      </c>
    </row>
    <row r="259">
      <c r="A259" s="2" t="s">
        <v>360</v>
      </c>
      <c r="B259" s="2" t="s">
        <v>145</v>
      </c>
      <c r="C259" s="2" t="s">
        <v>64</v>
      </c>
      <c r="D259" s="2" t="s">
        <v>37</v>
      </c>
      <c r="E259" s="2">
        <v>643.0</v>
      </c>
      <c r="F259" s="3">
        <v>45916.0</v>
      </c>
      <c r="G259" s="3">
        <v>46083.0</v>
      </c>
      <c r="H259" s="2">
        <v>6.40042937E8</v>
      </c>
      <c r="I259" s="2">
        <v>6.29038704E8</v>
      </c>
      <c r="J259" s="2" t="s">
        <v>20</v>
      </c>
      <c r="K259" s="2" t="s">
        <v>21</v>
      </c>
      <c r="L259" s="2">
        <v>94.0</v>
      </c>
      <c r="M259" s="2">
        <v>167.0</v>
      </c>
      <c r="N259" s="2">
        <v>995401.0</v>
      </c>
      <c r="O259" s="4">
        <v>45901.0</v>
      </c>
      <c r="P259" s="2" t="b">
        <v>1</v>
      </c>
      <c r="Q259" s="4">
        <f>IFERROR(__xludf.DUMMYFUNCTION("IF(ISDATE(O259),O259,L259)"),45901.0)</f>
        <v>45901</v>
      </c>
      <c r="R259" s="2">
        <v>94.0</v>
      </c>
      <c r="T259" s="4">
        <v>45901.0</v>
      </c>
    </row>
    <row r="260">
      <c r="A260" s="2" t="s">
        <v>361</v>
      </c>
      <c r="B260" s="2" t="s">
        <v>63</v>
      </c>
      <c r="C260" s="2" t="s">
        <v>24</v>
      </c>
      <c r="D260" s="2" t="s">
        <v>81</v>
      </c>
      <c r="E260" s="2">
        <v>1813.0</v>
      </c>
      <c r="F260" s="3">
        <v>45531.0</v>
      </c>
      <c r="G260" s="3">
        <v>45580.0</v>
      </c>
      <c r="H260" s="2">
        <v>6.89587197E8</v>
      </c>
      <c r="I260" s="2">
        <v>6.60742892E8</v>
      </c>
      <c r="J260" s="2" t="s">
        <v>20</v>
      </c>
      <c r="K260" s="2" t="s">
        <v>21</v>
      </c>
      <c r="L260" s="2">
        <v>51.0</v>
      </c>
      <c r="M260" s="2">
        <v>49.0</v>
      </c>
      <c r="N260" s="2">
        <v>380357.0</v>
      </c>
      <c r="O260" s="4">
        <v>45505.0</v>
      </c>
      <c r="P260" s="2" t="b">
        <v>1</v>
      </c>
      <c r="Q260" s="4">
        <f>IFERROR(__xludf.DUMMYFUNCTION("IF(ISDATE(O260),O260,L260)"),45505.0)</f>
        <v>45505</v>
      </c>
      <c r="R260" s="2">
        <v>51.0</v>
      </c>
      <c r="T260" s="4">
        <v>45505.0</v>
      </c>
    </row>
    <row r="261">
      <c r="A261" s="2" t="s">
        <v>362</v>
      </c>
      <c r="B261" s="2" t="s">
        <v>119</v>
      </c>
      <c r="C261" s="2" t="s">
        <v>24</v>
      </c>
      <c r="D261" s="2" t="s">
        <v>102</v>
      </c>
      <c r="E261" s="2">
        <v>165.0</v>
      </c>
      <c r="F261" s="3">
        <v>45537.0</v>
      </c>
      <c r="G261" s="3">
        <v>45650.0</v>
      </c>
      <c r="H261" s="2">
        <v>1.36638579E8</v>
      </c>
      <c r="I261" s="2">
        <v>1.3634716E8</v>
      </c>
      <c r="J261" s="2" t="s">
        <v>20</v>
      </c>
      <c r="K261" s="2" t="s">
        <v>25</v>
      </c>
      <c r="L261" s="2">
        <v>170.0</v>
      </c>
      <c r="M261" s="2">
        <v>113.0</v>
      </c>
      <c r="N261" s="2">
        <v>828113.0</v>
      </c>
      <c r="O261" s="4">
        <v>45536.0</v>
      </c>
      <c r="P261" s="2" t="b">
        <v>1</v>
      </c>
      <c r="Q261" s="4">
        <f>IFERROR(__xludf.DUMMYFUNCTION("IF(ISDATE(O261),O261,L261)"),45536.0)</f>
        <v>45536</v>
      </c>
      <c r="R261" s="2">
        <v>170.0</v>
      </c>
      <c r="T261" s="4">
        <v>45536.0</v>
      </c>
    </row>
    <row r="262">
      <c r="A262" s="2" t="s">
        <v>363</v>
      </c>
      <c r="B262" s="2" t="s">
        <v>284</v>
      </c>
      <c r="C262" s="2" t="s">
        <v>93</v>
      </c>
      <c r="D262" s="2" t="s">
        <v>102</v>
      </c>
      <c r="E262" s="2">
        <v>171.0</v>
      </c>
      <c r="F262" s="3">
        <v>45222.0</v>
      </c>
      <c r="G262" s="3">
        <v>45317.0</v>
      </c>
      <c r="H262" s="2">
        <v>7.610317E7</v>
      </c>
      <c r="I262" s="2">
        <v>7.7557166E7</v>
      </c>
      <c r="J262" s="2" t="s">
        <v>20</v>
      </c>
      <c r="K262" s="2" t="s">
        <v>30</v>
      </c>
      <c r="L262" s="2">
        <v>7.0</v>
      </c>
      <c r="M262" s="2">
        <v>95.0</v>
      </c>
      <c r="N262" s="2">
        <v>445048.0</v>
      </c>
      <c r="O262" s="6">
        <v>45200.0</v>
      </c>
      <c r="P262" s="2" t="b">
        <v>1</v>
      </c>
      <c r="Q262" s="6">
        <f>IFERROR(__xludf.DUMMYFUNCTION("IF(ISDATE(O262),O262,L262)"),45200.0)</f>
        <v>45200</v>
      </c>
      <c r="R262" s="2">
        <v>7.0</v>
      </c>
      <c r="T262" s="6">
        <v>45200.0</v>
      </c>
    </row>
    <row r="263">
      <c r="A263" s="2" t="s">
        <v>364</v>
      </c>
      <c r="B263" s="2" t="s">
        <v>275</v>
      </c>
      <c r="C263" s="2" t="s">
        <v>64</v>
      </c>
      <c r="D263" s="2" t="s">
        <v>72</v>
      </c>
      <c r="E263" s="2">
        <v>278.0</v>
      </c>
      <c r="F263" s="3">
        <v>45595.0</v>
      </c>
      <c r="G263" s="3">
        <v>45785.0</v>
      </c>
      <c r="H263" s="2">
        <v>2.35693733E8</v>
      </c>
      <c r="I263" s="2">
        <v>2.43618411E8</v>
      </c>
      <c r="J263" s="2" t="s">
        <v>20</v>
      </c>
      <c r="K263" s="2" t="s">
        <v>73</v>
      </c>
      <c r="L263" s="2">
        <v>130.0</v>
      </c>
      <c r="M263" s="2">
        <v>190.0</v>
      </c>
      <c r="N263" s="2">
        <v>847819.0</v>
      </c>
      <c r="O263" s="6">
        <v>45566.0</v>
      </c>
      <c r="P263" s="2" t="b">
        <v>1</v>
      </c>
      <c r="Q263" s="6">
        <f>IFERROR(__xludf.DUMMYFUNCTION("IF(ISDATE(O263),O263,L263)"),45566.0)</f>
        <v>45566</v>
      </c>
      <c r="R263" s="2">
        <v>130.0</v>
      </c>
      <c r="T263" s="6">
        <v>45566.0</v>
      </c>
    </row>
    <row r="264">
      <c r="A264" s="2" t="s">
        <v>365</v>
      </c>
      <c r="B264" s="2" t="s">
        <v>111</v>
      </c>
      <c r="C264" s="2" t="s">
        <v>28</v>
      </c>
      <c r="D264" s="2" t="s">
        <v>29</v>
      </c>
      <c r="E264" s="2">
        <v>652.0</v>
      </c>
      <c r="F264" s="3">
        <v>44960.0</v>
      </c>
      <c r="G264" s="3">
        <v>45112.0</v>
      </c>
      <c r="H264" s="2">
        <v>2.40778095E8</v>
      </c>
      <c r="I264" s="2">
        <v>2.51593469E8</v>
      </c>
      <c r="J264" s="2" t="s">
        <v>20</v>
      </c>
      <c r="K264" s="2" t="s">
        <v>25</v>
      </c>
      <c r="L264" s="2">
        <v>131.0</v>
      </c>
      <c r="M264" s="2">
        <v>152.0</v>
      </c>
      <c r="N264" s="2">
        <v>369292.0</v>
      </c>
      <c r="O264" s="4">
        <v>44958.0</v>
      </c>
      <c r="P264" s="2" t="b">
        <v>1</v>
      </c>
      <c r="Q264" s="4">
        <f>IFERROR(__xludf.DUMMYFUNCTION("IF(ISDATE(O264),O264,L264)"),44958.0)</f>
        <v>44958</v>
      </c>
      <c r="R264" s="2">
        <v>131.0</v>
      </c>
      <c r="T264" s="4">
        <v>44958.0</v>
      </c>
    </row>
    <row r="265">
      <c r="A265" s="2" t="s">
        <v>366</v>
      </c>
      <c r="B265" s="2" t="s">
        <v>99</v>
      </c>
      <c r="C265" s="2" t="s">
        <v>64</v>
      </c>
      <c r="D265" s="2" t="s">
        <v>33</v>
      </c>
      <c r="E265" s="2">
        <v>101.0</v>
      </c>
      <c r="F265" s="3">
        <v>45720.0</v>
      </c>
      <c r="G265" s="3">
        <v>45828.0</v>
      </c>
      <c r="H265" s="2">
        <v>4.8486848E7</v>
      </c>
      <c r="I265" s="2">
        <v>5.0478968E7</v>
      </c>
      <c r="J265" s="2" t="s">
        <v>20</v>
      </c>
      <c r="K265" s="2" t="s">
        <v>73</v>
      </c>
      <c r="L265" s="2">
        <v>144.0</v>
      </c>
      <c r="M265" s="2">
        <v>108.0</v>
      </c>
      <c r="N265" s="2">
        <v>480068.0</v>
      </c>
      <c r="O265" s="4">
        <v>45717.0</v>
      </c>
      <c r="P265" s="2" t="b">
        <v>1</v>
      </c>
      <c r="Q265" s="4">
        <f>IFERROR(__xludf.DUMMYFUNCTION("IF(ISDATE(O265),O265,L265)"),45717.0)</f>
        <v>45717</v>
      </c>
      <c r="R265" s="2">
        <v>144.0</v>
      </c>
      <c r="T265" s="4">
        <v>45717.0</v>
      </c>
    </row>
    <row r="266">
      <c r="A266" s="2" t="s">
        <v>367</v>
      </c>
      <c r="B266" s="2" t="s">
        <v>111</v>
      </c>
      <c r="C266" s="2" t="s">
        <v>28</v>
      </c>
      <c r="D266" s="2" t="s">
        <v>49</v>
      </c>
      <c r="E266" s="2">
        <v>76.0</v>
      </c>
      <c r="F266" s="3">
        <v>45822.0</v>
      </c>
      <c r="G266" s="2">
        <v>8.6381603E7</v>
      </c>
      <c r="H266" s="2" t="s">
        <v>69</v>
      </c>
      <c r="I266" s="2" t="s">
        <v>21</v>
      </c>
      <c r="J266" s="2">
        <v>117.0</v>
      </c>
      <c r="K266" s="2">
        <v>1136600.0</v>
      </c>
      <c r="L266" s="4">
        <v>45809.0</v>
      </c>
      <c r="M266" s="2" t="b">
        <v>0</v>
      </c>
      <c r="Q266" s="4">
        <f>IFERROR(__xludf.DUMMYFUNCTION("IF(ISDATE(O266),O266,L266)"),45809.0)</f>
        <v>45809</v>
      </c>
      <c r="R266" s="2">
        <v>117.0</v>
      </c>
      <c r="T266" s="4">
        <v>45809.0</v>
      </c>
    </row>
    <row r="267">
      <c r="A267" s="2" t="s">
        <v>368</v>
      </c>
      <c r="B267" s="2" t="s">
        <v>163</v>
      </c>
      <c r="C267" s="2" t="s">
        <v>40</v>
      </c>
      <c r="D267" s="2" t="s">
        <v>33</v>
      </c>
      <c r="E267" s="2">
        <v>80.0</v>
      </c>
      <c r="F267" s="3">
        <v>45529.0</v>
      </c>
      <c r="G267" s="2">
        <v>2.1882094E7</v>
      </c>
      <c r="H267" s="2" t="s">
        <v>34</v>
      </c>
      <c r="I267" s="2" t="s">
        <v>73</v>
      </c>
      <c r="J267" s="2">
        <v>47.0</v>
      </c>
      <c r="K267" s="2">
        <v>273526.0</v>
      </c>
      <c r="L267" s="4">
        <v>45505.0</v>
      </c>
      <c r="M267" s="2" t="b">
        <v>0</v>
      </c>
      <c r="Q267" s="4">
        <f>IFERROR(__xludf.DUMMYFUNCTION("IF(ISDATE(O267),O267,L267)"),45505.0)</f>
        <v>45505</v>
      </c>
      <c r="R267" s="2">
        <v>47.0</v>
      </c>
      <c r="T267" s="4">
        <v>45505.0</v>
      </c>
    </row>
    <row r="268">
      <c r="A268" s="2" t="s">
        <v>369</v>
      </c>
      <c r="B268" s="2" t="s">
        <v>121</v>
      </c>
      <c r="C268" s="2" t="s">
        <v>64</v>
      </c>
      <c r="D268" s="2" t="s">
        <v>72</v>
      </c>
      <c r="E268" s="2">
        <v>232.0</v>
      </c>
      <c r="F268" s="3">
        <v>45286.0</v>
      </c>
      <c r="G268" s="3">
        <v>45453.0</v>
      </c>
      <c r="H268" s="2">
        <v>2.00230154E8</v>
      </c>
      <c r="I268" s="2">
        <v>1.94580575E8</v>
      </c>
      <c r="J268" s="2" t="s">
        <v>20</v>
      </c>
      <c r="K268" s="2" t="s">
        <v>30</v>
      </c>
      <c r="L268" s="2">
        <v>79.0</v>
      </c>
      <c r="M268" s="2">
        <v>167.0</v>
      </c>
      <c r="N268" s="2">
        <v>863061.0</v>
      </c>
      <c r="O268" s="6">
        <v>45261.0</v>
      </c>
      <c r="P268" s="2" t="b">
        <v>1</v>
      </c>
      <c r="Q268" s="6">
        <f>IFERROR(__xludf.DUMMYFUNCTION("IF(ISDATE(O268),O268,L268)"),45261.0)</f>
        <v>45261</v>
      </c>
      <c r="R268" s="2">
        <v>79.0</v>
      </c>
      <c r="T268" s="6">
        <v>45261.0</v>
      </c>
    </row>
    <row r="269">
      <c r="A269" s="2" t="s">
        <v>370</v>
      </c>
      <c r="B269" s="2" t="s">
        <v>227</v>
      </c>
      <c r="C269" s="2" t="s">
        <v>64</v>
      </c>
      <c r="D269" s="2" t="s">
        <v>58</v>
      </c>
      <c r="E269" s="2">
        <v>280.0</v>
      </c>
      <c r="F269" s="3">
        <v>45912.0</v>
      </c>
      <c r="G269" s="2">
        <v>1.68746537E8</v>
      </c>
      <c r="H269" s="2" t="s">
        <v>69</v>
      </c>
      <c r="I269" s="2" t="s">
        <v>30</v>
      </c>
      <c r="J269" s="2">
        <v>172.0</v>
      </c>
      <c r="K269" s="2">
        <v>602666.0</v>
      </c>
      <c r="L269" s="4">
        <v>45901.0</v>
      </c>
      <c r="M269" s="2" t="b">
        <v>0</v>
      </c>
      <c r="Q269" s="4">
        <f>IFERROR(__xludf.DUMMYFUNCTION("IF(ISDATE(O269),O269,L269)"),45901.0)</f>
        <v>45901</v>
      </c>
      <c r="R269" s="2">
        <v>172.0</v>
      </c>
      <c r="T269" s="4">
        <v>45901.0</v>
      </c>
    </row>
    <row r="270">
      <c r="A270" s="2" t="s">
        <v>371</v>
      </c>
      <c r="B270" s="2" t="s">
        <v>71</v>
      </c>
      <c r="C270" s="2" t="s">
        <v>28</v>
      </c>
      <c r="D270" s="2" t="s">
        <v>102</v>
      </c>
      <c r="E270" s="2">
        <v>131.0</v>
      </c>
      <c r="F270" s="3">
        <v>45256.0</v>
      </c>
      <c r="G270" s="2">
        <v>1.40172989E8</v>
      </c>
      <c r="H270" s="2" t="s">
        <v>34</v>
      </c>
      <c r="I270" s="2" t="s">
        <v>42</v>
      </c>
      <c r="J270" s="2">
        <v>152.0</v>
      </c>
      <c r="K270" s="2">
        <v>1070023.0</v>
      </c>
      <c r="L270" s="6">
        <v>45231.0</v>
      </c>
      <c r="M270" s="2" t="b">
        <v>0</v>
      </c>
      <c r="Q270" s="6">
        <f>IFERROR(__xludf.DUMMYFUNCTION("IF(ISDATE(O270),O270,L270)"),45231.0)</f>
        <v>45231</v>
      </c>
      <c r="R270" s="2">
        <v>152.0</v>
      </c>
      <c r="T270" s="6">
        <v>45231.0</v>
      </c>
    </row>
    <row r="271">
      <c r="A271" s="2" t="s">
        <v>372</v>
      </c>
      <c r="B271" s="2" t="s">
        <v>129</v>
      </c>
      <c r="C271" s="2" t="s">
        <v>18</v>
      </c>
      <c r="D271" s="2" t="s">
        <v>49</v>
      </c>
      <c r="E271" s="2">
        <v>146.0</v>
      </c>
      <c r="F271" s="3">
        <v>45575.0</v>
      </c>
      <c r="G271" s="2">
        <v>5.7869582E7</v>
      </c>
      <c r="H271" s="2" t="s">
        <v>41</v>
      </c>
      <c r="I271" s="2" t="s">
        <v>30</v>
      </c>
      <c r="J271" s="2">
        <v>99.0</v>
      </c>
      <c r="K271" s="2">
        <v>396367.0</v>
      </c>
      <c r="L271" s="6">
        <v>45566.0</v>
      </c>
      <c r="M271" s="2" t="b">
        <v>0</v>
      </c>
      <c r="Q271" s="6">
        <f>IFERROR(__xludf.DUMMYFUNCTION("IF(ISDATE(O271),O271,L271)"),45566.0)</f>
        <v>45566</v>
      </c>
      <c r="R271" s="2">
        <v>99.0</v>
      </c>
      <c r="T271" s="6">
        <v>45566.0</v>
      </c>
    </row>
    <row r="272">
      <c r="A272" s="2" t="s">
        <v>373</v>
      </c>
      <c r="B272" s="2" t="s">
        <v>204</v>
      </c>
      <c r="C272" s="2" t="s">
        <v>64</v>
      </c>
      <c r="D272" s="2" t="s">
        <v>81</v>
      </c>
      <c r="E272" s="2">
        <v>3081.0</v>
      </c>
      <c r="F272" s="3">
        <v>45816.0</v>
      </c>
      <c r="G272" s="2">
        <v>7.380822E8</v>
      </c>
      <c r="H272" s="2" t="s">
        <v>34</v>
      </c>
      <c r="I272" s="2" t="s">
        <v>73</v>
      </c>
      <c r="J272" s="2">
        <v>167.0</v>
      </c>
      <c r="K272" s="2">
        <v>239559.0</v>
      </c>
      <c r="L272" s="4">
        <v>45809.0</v>
      </c>
      <c r="M272" s="2" t="b">
        <v>0</v>
      </c>
      <c r="Q272" s="4">
        <f>IFERROR(__xludf.DUMMYFUNCTION("IF(ISDATE(O272),O272,L272)"),45809.0)</f>
        <v>45809</v>
      </c>
      <c r="R272" s="2">
        <v>167.0</v>
      </c>
      <c r="T272" s="4">
        <v>45809.0</v>
      </c>
    </row>
    <row r="273">
      <c r="A273" s="2" t="s">
        <v>374</v>
      </c>
      <c r="B273" s="2" t="s">
        <v>66</v>
      </c>
      <c r="C273" s="2" t="s">
        <v>18</v>
      </c>
      <c r="D273" s="2" t="s">
        <v>67</v>
      </c>
      <c r="E273" s="2">
        <v>27.0</v>
      </c>
      <c r="F273" s="3">
        <v>45150.0</v>
      </c>
      <c r="G273" s="2">
        <v>5545412.0</v>
      </c>
      <c r="H273" s="2" t="s">
        <v>41</v>
      </c>
      <c r="I273" s="2" t="s">
        <v>30</v>
      </c>
      <c r="J273" s="2">
        <v>77.0</v>
      </c>
      <c r="K273" s="2">
        <v>205386.0</v>
      </c>
      <c r="L273" s="4">
        <v>45139.0</v>
      </c>
      <c r="M273" s="2" t="b">
        <v>0</v>
      </c>
      <c r="Q273" s="4">
        <f>IFERROR(__xludf.DUMMYFUNCTION("IF(ISDATE(O273),O273,L273)"),45139.0)</f>
        <v>45139</v>
      </c>
      <c r="R273" s="2">
        <v>77.0</v>
      </c>
      <c r="T273" s="4">
        <v>45139.0</v>
      </c>
    </row>
    <row r="274">
      <c r="A274" s="2" t="s">
        <v>375</v>
      </c>
      <c r="B274" s="2" t="s">
        <v>208</v>
      </c>
      <c r="C274" s="2" t="s">
        <v>24</v>
      </c>
      <c r="D274" s="2" t="s">
        <v>29</v>
      </c>
      <c r="E274" s="2">
        <v>1469.0</v>
      </c>
      <c r="F274" s="3">
        <v>45734.0</v>
      </c>
      <c r="G274" s="3">
        <v>45923.0</v>
      </c>
      <c r="H274" s="2">
        <v>4.9624101E8</v>
      </c>
      <c r="I274" s="2">
        <v>4.60189531E8</v>
      </c>
      <c r="J274" s="2" t="s">
        <v>20</v>
      </c>
      <c r="K274" s="2" t="s">
        <v>73</v>
      </c>
      <c r="L274" s="2">
        <v>9.0</v>
      </c>
      <c r="M274" s="2">
        <v>189.0</v>
      </c>
      <c r="N274" s="2">
        <v>337809.0</v>
      </c>
      <c r="O274" s="4">
        <v>45717.0</v>
      </c>
      <c r="P274" s="2" t="b">
        <v>1</v>
      </c>
      <c r="Q274" s="4">
        <f>IFERROR(__xludf.DUMMYFUNCTION("IF(ISDATE(O274),O274,L274)"),45717.0)</f>
        <v>45717</v>
      </c>
      <c r="R274" s="2">
        <v>9.0</v>
      </c>
      <c r="T274" s="4">
        <v>45717.0</v>
      </c>
    </row>
    <row r="275">
      <c r="A275" s="2" t="s">
        <v>376</v>
      </c>
      <c r="B275" s="2" t="s">
        <v>129</v>
      </c>
      <c r="C275" s="2" t="s">
        <v>28</v>
      </c>
      <c r="D275" s="2" t="s">
        <v>102</v>
      </c>
      <c r="E275" s="2">
        <v>156.0</v>
      </c>
      <c r="F275" s="3">
        <v>45942.0</v>
      </c>
      <c r="G275" s="2">
        <v>2.06902016E8</v>
      </c>
      <c r="H275" s="2" t="s">
        <v>41</v>
      </c>
      <c r="I275" s="2" t="s">
        <v>42</v>
      </c>
      <c r="J275" s="2">
        <v>171.0</v>
      </c>
      <c r="K275" s="2">
        <v>1326295.0</v>
      </c>
      <c r="L275" s="6">
        <v>45931.0</v>
      </c>
      <c r="M275" s="2" t="b">
        <v>0</v>
      </c>
      <c r="Q275" s="6">
        <f>IFERROR(__xludf.DUMMYFUNCTION("IF(ISDATE(O275),O275,L275)"),45931.0)</f>
        <v>45931</v>
      </c>
      <c r="R275" s="2">
        <v>171.0</v>
      </c>
      <c r="T275" s="6">
        <v>45931.0</v>
      </c>
    </row>
    <row r="276">
      <c r="A276" s="2" t="s">
        <v>377</v>
      </c>
      <c r="B276" s="2" t="s">
        <v>106</v>
      </c>
      <c r="C276" s="2" t="s">
        <v>24</v>
      </c>
      <c r="D276" s="2" t="s">
        <v>37</v>
      </c>
      <c r="E276" s="2">
        <v>347.0</v>
      </c>
      <c r="F276" s="3">
        <v>45011.0</v>
      </c>
      <c r="G276" s="3">
        <v>45192.0</v>
      </c>
      <c r="H276" s="2">
        <v>4.54632579E8</v>
      </c>
      <c r="I276" s="2">
        <v>4.47092338E8</v>
      </c>
      <c r="J276" s="2" t="s">
        <v>20</v>
      </c>
      <c r="K276" s="2" t="s">
        <v>30</v>
      </c>
      <c r="L276" s="2">
        <v>64.0</v>
      </c>
      <c r="M276" s="2">
        <v>181.0</v>
      </c>
      <c r="N276" s="2">
        <v>1310180.0</v>
      </c>
      <c r="O276" s="4">
        <v>44986.0</v>
      </c>
      <c r="P276" s="2" t="b">
        <v>1</v>
      </c>
      <c r="Q276" s="4">
        <f>IFERROR(__xludf.DUMMYFUNCTION("IF(ISDATE(O276),O276,L276)"),44986.0)</f>
        <v>44986</v>
      </c>
      <c r="R276" s="2">
        <v>64.0</v>
      </c>
      <c r="T276" s="4">
        <v>44986.0</v>
      </c>
    </row>
    <row r="277">
      <c r="A277" s="2" t="s">
        <v>378</v>
      </c>
      <c r="B277" s="2" t="s">
        <v>211</v>
      </c>
      <c r="C277" s="2" t="s">
        <v>24</v>
      </c>
      <c r="D277" s="2" t="s">
        <v>33</v>
      </c>
      <c r="E277" s="2">
        <v>110.0</v>
      </c>
      <c r="F277" s="3">
        <v>45145.0</v>
      </c>
      <c r="G277" s="3">
        <v>45193.0</v>
      </c>
      <c r="H277" s="2">
        <v>7.7754233E7</v>
      </c>
      <c r="I277" s="2">
        <v>7.7996132E7</v>
      </c>
      <c r="J277" s="2" t="s">
        <v>20</v>
      </c>
      <c r="K277" s="2" t="s">
        <v>73</v>
      </c>
      <c r="L277" s="2">
        <v>7.0</v>
      </c>
      <c r="M277" s="2">
        <v>48.0</v>
      </c>
      <c r="N277" s="2">
        <v>706857.0</v>
      </c>
      <c r="O277" s="4">
        <v>45139.0</v>
      </c>
      <c r="P277" s="2" t="b">
        <v>1</v>
      </c>
      <c r="Q277" s="4">
        <f>IFERROR(__xludf.DUMMYFUNCTION("IF(ISDATE(O277),O277,L277)"),45139.0)</f>
        <v>45139</v>
      </c>
      <c r="R277" s="2">
        <v>7.0</v>
      </c>
      <c r="T277" s="4">
        <v>45139.0</v>
      </c>
    </row>
    <row r="278">
      <c r="A278" s="2" t="s">
        <v>379</v>
      </c>
      <c r="B278" s="2" t="s">
        <v>113</v>
      </c>
      <c r="C278" s="2" t="s">
        <v>28</v>
      </c>
      <c r="D278" s="2" t="s">
        <v>67</v>
      </c>
      <c r="E278" s="2">
        <v>28.0</v>
      </c>
      <c r="F278" s="3">
        <v>45062.0</v>
      </c>
      <c r="G278" s="3">
        <v>45135.0</v>
      </c>
      <c r="H278" s="2">
        <v>1.6713777E7</v>
      </c>
      <c r="I278" s="2">
        <v>1.7330885E7</v>
      </c>
      <c r="J278" s="2" t="s">
        <v>20</v>
      </c>
      <c r="K278" s="2" t="s">
        <v>21</v>
      </c>
      <c r="L278" s="2">
        <v>31.0</v>
      </c>
      <c r="M278" s="2">
        <v>73.0</v>
      </c>
      <c r="N278" s="2">
        <v>596921.0</v>
      </c>
      <c r="O278" s="4">
        <v>45047.0</v>
      </c>
      <c r="P278" s="2" t="b">
        <v>1</v>
      </c>
      <c r="Q278" s="4">
        <f>IFERROR(__xludf.DUMMYFUNCTION("IF(ISDATE(O278),O278,L278)"),45047.0)</f>
        <v>45047</v>
      </c>
      <c r="R278" s="2">
        <v>31.0</v>
      </c>
      <c r="T278" s="4">
        <v>45047.0</v>
      </c>
    </row>
    <row r="279">
      <c r="A279" s="2" t="s">
        <v>380</v>
      </c>
      <c r="B279" s="2" t="s">
        <v>323</v>
      </c>
      <c r="C279" s="2" t="s">
        <v>24</v>
      </c>
      <c r="D279" s="2" t="s">
        <v>37</v>
      </c>
      <c r="E279" s="2">
        <v>370.0</v>
      </c>
      <c r="F279" s="3">
        <v>45583.0</v>
      </c>
      <c r="G279" s="2">
        <v>4.64213632E8</v>
      </c>
      <c r="H279" s="2" t="s">
        <v>41</v>
      </c>
      <c r="I279" s="2" t="s">
        <v>25</v>
      </c>
      <c r="J279" s="2">
        <v>7.0</v>
      </c>
      <c r="K279" s="2">
        <v>1254631.0</v>
      </c>
      <c r="L279" s="6">
        <v>45566.0</v>
      </c>
      <c r="M279" s="2" t="b">
        <v>0</v>
      </c>
      <c r="Q279" s="6">
        <f>IFERROR(__xludf.DUMMYFUNCTION("IF(ISDATE(O279),O279,L279)"),45566.0)</f>
        <v>45566</v>
      </c>
      <c r="R279" s="8">
        <v>7.0</v>
      </c>
      <c r="T279" s="6">
        <v>45566.0</v>
      </c>
    </row>
    <row r="280">
      <c r="A280" s="2" t="s">
        <v>381</v>
      </c>
      <c r="B280" s="2" t="s">
        <v>142</v>
      </c>
      <c r="C280" s="2" t="s">
        <v>64</v>
      </c>
      <c r="D280" s="2" t="s">
        <v>102</v>
      </c>
      <c r="E280" s="2">
        <v>156.0</v>
      </c>
      <c r="F280" s="3">
        <v>45145.0</v>
      </c>
      <c r="G280" s="3">
        <v>45198.0</v>
      </c>
      <c r="H280" s="2">
        <v>1.06875783E8</v>
      </c>
      <c r="I280" s="2">
        <v>1.08860697E8</v>
      </c>
      <c r="J280" s="2" t="s">
        <v>20</v>
      </c>
      <c r="K280" s="2" t="s">
        <v>73</v>
      </c>
      <c r="L280" s="2">
        <v>60.0</v>
      </c>
      <c r="M280" s="2">
        <v>53.0</v>
      </c>
      <c r="N280" s="2">
        <v>685101.0</v>
      </c>
      <c r="O280" s="4">
        <v>45139.0</v>
      </c>
      <c r="P280" s="2" t="b">
        <v>1</v>
      </c>
      <c r="Q280" s="4">
        <f>IFERROR(__xludf.DUMMYFUNCTION("IF(ISDATE(O280),O280,L280)"),45139.0)</f>
        <v>45139</v>
      </c>
      <c r="R280" s="2">
        <v>60.0</v>
      </c>
      <c r="T280" s="4">
        <v>45139.0</v>
      </c>
    </row>
    <row r="281">
      <c r="A281" s="2" t="s">
        <v>382</v>
      </c>
      <c r="B281" s="2" t="s">
        <v>86</v>
      </c>
      <c r="C281" s="2" t="s">
        <v>28</v>
      </c>
      <c r="D281" s="2" t="s">
        <v>33</v>
      </c>
      <c r="E281" s="2">
        <v>73.0</v>
      </c>
      <c r="F281" s="3">
        <v>45674.0</v>
      </c>
      <c r="G281" s="3">
        <v>45798.0</v>
      </c>
      <c r="H281" s="2">
        <v>6.0548481E7</v>
      </c>
      <c r="I281" s="2">
        <v>5.7059243E7</v>
      </c>
      <c r="J281" s="2" t="s">
        <v>20</v>
      </c>
      <c r="K281" s="2" t="s">
        <v>30</v>
      </c>
      <c r="L281" s="2">
        <v>170.0</v>
      </c>
      <c r="M281" s="2">
        <v>124.0</v>
      </c>
      <c r="N281" s="2">
        <v>829431.0</v>
      </c>
      <c r="O281" s="4">
        <v>45658.0</v>
      </c>
      <c r="P281" s="2" t="b">
        <v>1</v>
      </c>
      <c r="Q281" s="4">
        <f>IFERROR(__xludf.DUMMYFUNCTION("IF(ISDATE(O281),O281,L281)"),45658.0)</f>
        <v>45658</v>
      </c>
      <c r="R281" s="2">
        <v>170.0</v>
      </c>
      <c r="T281" s="4">
        <v>45658.0</v>
      </c>
    </row>
    <row r="282">
      <c r="A282" s="2" t="s">
        <v>383</v>
      </c>
      <c r="B282" s="2" t="s">
        <v>137</v>
      </c>
      <c r="C282" s="2" t="s">
        <v>28</v>
      </c>
      <c r="D282" s="2" t="s">
        <v>58</v>
      </c>
      <c r="E282" s="2">
        <v>203.0</v>
      </c>
      <c r="F282" s="3">
        <v>45549.0</v>
      </c>
      <c r="G282" s="3">
        <v>45740.0</v>
      </c>
      <c r="H282" s="2">
        <v>1.63370812E8</v>
      </c>
      <c r="I282" s="2">
        <v>1.72442989E8</v>
      </c>
      <c r="J282" s="2" t="s">
        <v>20</v>
      </c>
      <c r="K282" s="2" t="s">
        <v>30</v>
      </c>
      <c r="L282" s="2">
        <v>57.0</v>
      </c>
      <c r="M282" s="2">
        <v>191.0</v>
      </c>
      <c r="N282" s="2">
        <v>804782.0</v>
      </c>
      <c r="O282" s="4">
        <v>45536.0</v>
      </c>
      <c r="P282" s="2" t="b">
        <v>1</v>
      </c>
      <c r="Q282" s="4">
        <f>IFERROR(__xludf.DUMMYFUNCTION("IF(ISDATE(O282),O282,L282)"),45536.0)</f>
        <v>45536</v>
      </c>
      <c r="R282" s="2">
        <v>57.0</v>
      </c>
      <c r="T282" s="4">
        <v>45536.0</v>
      </c>
    </row>
    <row r="283">
      <c r="A283" s="2" t="s">
        <v>384</v>
      </c>
      <c r="B283" s="2" t="s">
        <v>75</v>
      </c>
      <c r="C283" s="2" t="s">
        <v>64</v>
      </c>
      <c r="D283" s="2" t="s">
        <v>58</v>
      </c>
      <c r="E283" s="2">
        <v>98.0</v>
      </c>
      <c r="F283" s="3">
        <v>45588.0</v>
      </c>
      <c r="G283" s="3">
        <v>45664.0</v>
      </c>
      <c r="H283" s="2">
        <v>5.0836301E7</v>
      </c>
      <c r="I283" s="2">
        <v>4.7686432E7</v>
      </c>
      <c r="J283" s="2" t="s">
        <v>20</v>
      </c>
      <c r="K283" s="2" t="s">
        <v>73</v>
      </c>
      <c r="L283" s="2">
        <v>168.0</v>
      </c>
      <c r="M283" s="2">
        <v>76.0</v>
      </c>
      <c r="N283" s="2">
        <v>518738.0</v>
      </c>
      <c r="O283" s="6">
        <v>45566.0</v>
      </c>
      <c r="P283" s="2" t="b">
        <v>1</v>
      </c>
      <c r="Q283" s="6">
        <f>IFERROR(__xludf.DUMMYFUNCTION("IF(ISDATE(O283),O283,L283)"),45566.0)</f>
        <v>45566</v>
      </c>
      <c r="R283" s="2">
        <v>168.0</v>
      </c>
      <c r="T283" s="6">
        <v>45566.0</v>
      </c>
    </row>
    <row r="284">
      <c r="A284" s="2" t="s">
        <v>385</v>
      </c>
      <c r="B284" s="2" t="s">
        <v>46</v>
      </c>
      <c r="C284" s="2" t="s">
        <v>64</v>
      </c>
      <c r="D284" s="2" t="s">
        <v>58</v>
      </c>
      <c r="E284" s="2">
        <v>277.0</v>
      </c>
      <c r="F284" s="3">
        <v>45883.0</v>
      </c>
      <c r="G284" s="3">
        <v>45997.0</v>
      </c>
      <c r="H284" s="2">
        <v>1.63759954E8</v>
      </c>
      <c r="I284" s="2">
        <v>1.65551629E8</v>
      </c>
      <c r="J284" s="2" t="s">
        <v>20</v>
      </c>
      <c r="K284" s="2" t="s">
        <v>30</v>
      </c>
      <c r="L284" s="2">
        <v>144.0</v>
      </c>
      <c r="M284" s="2">
        <v>114.0</v>
      </c>
      <c r="N284" s="2">
        <v>591191.0</v>
      </c>
      <c r="O284" s="4">
        <v>45870.0</v>
      </c>
      <c r="P284" s="2" t="b">
        <v>1</v>
      </c>
      <c r="Q284" s="4">
        <f>IFERROR(__xludf.DUMMYFUNCTION("IF(ISDATE(O284),O284,L284)"),45870.0)</f>
        <v>45870</v>
      </c>
      <c r="R284" s="2">
        <v>144.0</v>
      </c>
      <c r="T284" s="4">
        <v>45870.0</v>
      </c>
    </row>
    <row r="285">
      <c r="A285" s="2" t="s">
        <v>386</v>
      </c>
      <c r="B285" s="2" t="s">
        <v>121</v>
      </c>
      <c r="C285" s="2" t="s">
        <v>18</v>
      </c>
      <c r="D285" s="2" t="s">
        <v>81</v>
      </c>
      <c r="E285" s="2">
        <v>997.0</v>
      </c>
      <c r="F285" s="3">
        <v>44996.0</v>
      </c>
      <c r="G285" s="3">
        <v>45066.0</v>
      </c>
      <c r="H285" s="2">
        <v>1.45039936E8</v>
      </c>
      <c r="I285" s="2">
        <v>1.34840005E8</v>
      </c>
      <c r="J285" s="2" t="s">
        <v>20</v>
      </c>
      <c r="K285" s="2" t="s">
        <v>73</v>
      </c>
      <c r="L285" s="2">
        <v>134.0</v>
      </c>
      <c r="M285" s="2">
        <v>70.0</v>
      </c>
      <c r="N285" s="2">
        <v>145476.0</v>
      </c>
      <c r="O285" s="4">
        <v>44986.0</v>
      </c>
      <c r="P285" s="2" t="b">
        <v>1</v>
      </c>
      <c r="Q285" s="4">
        <f>IFERROR(__xludf.DUMMYFUNCTION("IF(ISDATE(O285),O285,L285)"),44986.0)</f>
        <v>44986</v>
      </c>
      <c r="R285" s="2">
        <v>134.0</v>
      </c>
      <c r="T285" s="4">
        <v>44986.0</v>
      </c>
    </row>
    <row r="286">
      <c r="A286" s="2" t="s">
        <v>387</v>
      </c>
      <c r="B286" s="2" t="s">
        <v>119</v>
      </c>
      <c r="C286" s="2" t="s">
        <v>24</v>
      </c>
      <c r="D286" s="2" t="s">
        <v>58</v>
      </c>
      <c r="E286" s="2">
        <v>246.0</v>
      </c>
      <c r="F286" s="3">
        <v>45645.0</v>
      </c>
      <c r="G286" s="3">
        <v>45823.0</v>
      </c>
      <c r="H286" s="2">
        <v>1.87257054E8</v>
      </c>
      <c r="I286" s="2">
        <v>1.90733954E8</v>
      </c>
      <c r="J286" s="2" t="s">
        <v>20</v>
      </c>
      <c r="K286" s="2" t="s">
        <v>30</v>
      </c>
      <c r="L286" s="2">
        <v>26.0</v>
      </c>
      <c r="M286" s="2">
        <v>178.0</v>
      </c>
      <c r="N286" s="2">
        <v>761208.0</v>
      </c>
      <c r="O286" s="6">
        <v>45627.0</v>
      </c>
      <c r="P286" s="2" t="b">
        <v>1</v>
      </c>
      <c r="Q286" s="6">
        <f>IFERROR(__xludf.DUMMYFUNCTION("IF(ISDATE(O286),O286,L286)"),45627.0)</f>
        <v>45627</v>
      </c>
      <c r="R286" s="2">
        <v>26.0</v>
      </c>
      <c r="T286" s="6">
        <v>45627.0</v>
      </c>
    </row>
    <row r="287">
      <c r="A287" s="2" t="s">
        <v>388</v>
      </c>
      <c r="B287" s="2" t="s">
        <v>23</v>
      </c>
      <c r="C287" s="2" t="s">
        <v>24</v>
      </c>
      <c r="D287" s="2" t="s">
        <v>58</v>
      </c>
      <c r="E287" s="2">
        <v>285.0</v>
      </c>
      <c r="F287" s="3">
        <v>45476.0</v>
      </c>
      <c r="G287" s="3">
        <v>45641.0</v>
      </c>
      <c r="H287" s="2">
        <v>2.24910074E8</v>
      </c>
      <c r="I287" s="2">
        <v>2.36948213E8</v>
      </c>
      <c r="J287" s="2" t="s">
        <v>20</v>
      </c>
      <c r="K287" s="2" t="s">
        <v>21</v>
      </c>
      <c r="L287" s="2">
        <v>84.0</v>
      </c>
      <c r="M287" s="2">
        <v>165.0</v>
      </c>
      <c r="N287" s="2">
        <v>789158.0</v>
      </c>
      <c r="O287" s="4">
        <v>45474.0</v>
      </c>
      <c r="P287" s="2" t="b">
        <v>1</v>
      </c>
      <c r="Q287" s="4">
        <f>IFERROR(__xludf.DUMMYFUNCTION("IF(ISDATE(O287),O287,L287)"),45474.0)</f>
        <v>45474</v>
      </c>
      <c r="R287" s="2">
        <v>84.0</v>
      </c>
      <c r="T287" s="4">
        <v>45474.0</v>
      </c>
    </row>
    <row r="288">
      <c r="A288" s="2" t="s">
        <v>389</v>
      </c>
      <c r="B288" s="2" t="s">
        <v>139</v>
      </c>
      <c r="C288" s="2" t="s">
        <v>18</v>
      </c>
      <c r="D288" s="2" t="s">
        <v>72</v>
      </c>
      <c r="E288" s="2">
        <v>194.0</v>
      </c>
      <c r="F288" s="3">
        <v>45873.0</v>
      </c>
      <c r="G288" s="3">
        <v>46004.0</v>
      </c>
      <c r="H288" s="2">
        <v>1.07056772E8</v>
      </c>
      <c r="I288" s="2">
        <v>9.943482E7</v>
      </c>
      <c r="J288" s="2" t="s">
        <v>20</v>
      </c>
      <c r="K288" s="2" t="s">
        <v>42</v>
      </c>
      <c r="L288" s="2">
        <v>35.0</v>
      </c>
      <c r="M288" s="2">
        <v>131.0</v>
      </c>
      <c r="N288" s="2">
        <v>551839.0</v>
      </c>
      <c r="O288" s="4">
        <v>45870.0</v>
      </c>
      <c r="P288" s="2" t="b">
        <v>1</v>
      </c>
      <c r="Q288" s="4">
        <f>IFERROR(__xludf.DUMMYFUNCTION("IF(ISDATE(O288),O288,L288)"),45870.0)</f>
        <v>45870</v>
      </c>
      <c r="R288" s="2">
        <v>35.0</v>
      </c>
      <c r="T288" s="4">
        <v>45870.0</v>
      </c>
    </row>
    <row r="289">
      <c r="A289" s="2" t="s">
        <v>390</v>
      </c>
      <c r="B289" s="2" t="s">
        <v>284</v>
      </c>
      <c r="C289" s="2" t="s">
        <v>28</v>
      </c>
      <c r="D289" s="2" t="s">
        <v>102</v>
      </c>
      <c r="E289" s="2">
        <v>101.0</v>
      </c>
      <c r="F289" s="3">
        <v>45902.0</v>
      </c>
      <c r="G289" s="3">
        <v>46049.0</v>
      </c>
      <c r="H289" s="2">
        <v>1.24825346E8</v>
      </c>
      <c r="I289" s="2">
        <v>1.29234487E8</v>
      </c>
      <c r="J289" s="2" t="s">
        <v>20</v>
      </c>
      <c r="K289" s="2" t="s">
        <v>42</v>
      </c>
      <c r="L289" s="2">
        <v>100.0</v>
      </c>
      <c r="M289" s="2">
        <v>147.0</v>
      </c>
      <c r="N289" s="2">
        <v>1235895.0</v>
      </c>
      <c r="O289" s="4">
        <v>45901.0</v>
      </c>
      <c r="P289" s="2" t="b">
        <v>1</v>
      </c>
      <c r="Q289" s="4">
        <f>IFERROR(__xludf.DUMMYFUNCTION("IF(ISDATE(O289),O289,L289)"),45901.0)</f>
        <v>45901</v>
      </c>
      <c r="R289" s="2">
        <v>100.0</v>
      </c>
      <c r="T289" s="4">
        <v>45901.0</v>
      </c>
    </row>
    <row r="290">
      <c r="A290" s="2" t="s">
        <v>391</v>
      </c>
      <c r="B290" s="2" t="s">
        <v>46</v>
      </c>
      <c r="C290" s="2" t="s">
        <v>28</v>
      </c>
      <c r="D290" s="2" t="s">
        <v>37</v>
      </c>
      <c r="E290" s="2">
        <v>360.0</v>
      </c>
      <c r="F290" s="3">
        <v>45753.0</v>
      </c>
      <c r="G290" s="3">
        <v>45902.0</v>
      </c>
      <c r="H290" s="2">
        <v>5.89419449E8</v>
      </c>
      <c r="I290" s="2">
        <v>6.09443041E8</v>
      </c>
      <c r="J290" s="2" t="s">
        <v>20</v>
      </c>
      <c r="K290" s="2" t="s">
        <v>25</v>
      </c>
      <c r="L290" s="2">
        <v>165.0</v>
      </c>
      <c r="M290" s="2">
        <v>149.0</v>
      </c>
      <c r="N290" s="2">
        <v>1637276.0</v>
      </c>
      <c r="O290" s="4">
        <v>45748.0</v>
      </c>
      <c r="P290" s="2" t="b">
        <v>1</v>
      </c>
      <c r="Q290" s="4">
        <f>IFERROR(__xludf.DUMMYFUNCTION("IF(ISDATE(O290),O290,L290)"),45748.0)</f>
        <v>45748</v>
      </c>
      <c r="R290" s="2">
        <v>165.0</v>
      </c>
      <c r="T290" s="4">
        <v>45748.0</v>
      </c>
    </row>
    <row r="291">
      <c r="A291" s="2" t="s">
        <v>392</v>
      </c>
      <c r="B291" s="2" t="s">
        <v>54</v>
      </c>
      <c r="C291" s="2" t="s">
        <v>28</v>
      </c>
      <c r="D291" s="2" t="s">
        <v>81</v>
      </c>
      <c r="E291" s="2">
        <v>4584.0</v>
      </c>
      <c r="F291" s="3">
        <v>45438.0</v>
      </c>
      <c r="G291" s="2">
        <v>2.331002077E9</v>
      </c>
      <c r="H291" s="2" t="s">
        <v>41</v>
      </c>
      <c r="I291" s="2" t="s">
        <v>30</v>
      </c>
      <c r="J291" s="2">
        <v>31.0</v>
      </c>
      <c r="K291" s="2">
        <v>508508.0</v>
      </c>
      <c r="L291" s="4">
        <v>45413.0</v>
      </c>
      <c r="M291" s="2" t="b">
        <v>0</v>
      </c>
      <c r="Q291" s="4">
        <f>IFERROR(__xludf.DUMMYFUNCTION("IF(ISDATE(O291),O291,L291)"),45413.0)</f>
        <v>45413</v>
      </c>
      <c r="R291" s="2">
        <v>31.0</v>
      </c>
      <c r="T291" s="4">
        <v>45413.0</v>
      </c>
    </row>
    <row r="292">
      <c r="A292" s="2" t="s">
        <v>393</v>
      </c>
      <c r="B292" s="2" t="s">
        <v>60</v>
      </c>
      <c r="C292" s="2" t="s">
        <v>40</v>
      </c>
      <c r="D292" s="2" t="s">
        <v>33</v>
      </c>
      <c r="E292" s="2">
        <v>79.0</v>
      </c>
      <c r="F292" s="3">
        <v>44972.0</v>
      </c>
      <c r="G292" s="2">
        <v>1.8719456E7</v>
      </c>
      <c r="H292" s="2" t="s">
        <v>41</v>
      </c>
      <c r="I292" s="2" t="s">
        <v>73</v>
      </c>
      <c r="J292" s="2">
        <v>98.0</v>
      </c>
      <c r="K292" s="2">
        <v>236955.0</v>
      </c>
      <c r="L292" s="4">
        <v>44958.0</v>
      </c>
      <c r="M292" s="2" t="b">
        <v>0</v>
      </c>
      <c r="Q292" s="4">
        <f>IFERROR(__xludf.DUMMYFUNCTION("IF(ISDATE(O292),O292,L292)"),44958.0)</f>
        <v>44958</v>
      </c>
      <c r="R292" s="2">
        <v>98.0</v>
      </c>
      <c r="T292" s="4">
        <v>44958.0</v>
      </c>
    </row>
    <row r="293">
      <c r="A293" s="2" t="s">
        <v>394</v>
      </c>
      <c r="B293" s="2" t="s">
        <v>121</v>
      </c>
      <c r="C293" s="2" t="s">
        <v>24</v>
      </c>
      <c r="D293" s="2" t="s">
        <v>102</v>
      </c>
      <c r="E293" s="2">
        <v>122.0</v>
      </c>
      <c r="F293" s="3">
        <v>45749.0</v>
      </c>
      <c r="G293" s="2">
        <v>1.10254885E8</v>
      </c>
      <c r="H293" s="2" t="s">
        <v>34</v>
      </c>
      <c r="I293" s="2" t="s">
        <v>42</v>
      </c>
      <c r="J293" s="2">
        <v>87.0</v>
      </c>
      <c r="K293" s="2">
        <v>903729.0</v>
      </c>
      <c r="L293" s="4">
        <v>45748.0</v>
      </c>
      <c r="M293" s="2" t="b">
        <v>0</v>
      </c>
      <c r="Q293" s="4">
        <f>IFERROR(__xludf.DUMMYFUNCTION("IF(ISDATE(O293),O293,L293)"),45748.0)</f>
        <v>45748</v>
      </c>
      <c r="R293" s="2">
        <v>87.0</v>
      </c>
      <c r="T293" s="4">
        <v>45748.0</v>
      </c>
    </row>
    <row r="294">
      <c r="A294" s="2" t="s">
        <v>395</v>
      </c>
      <c r="B294" s="2" t="s">
        <v>86</v>
      </c>
      <c r="C294" s="2" t="s">
        <v>28</v>
      </c>
      <c r="D294" s="2" t="s">
        <v>67</v>
      </c>
      <c r="E294" s="2">
        <v>33.0</v>
      </c>
      <c r="F294" s="3">
        <v>45308.0</v>
      </c>
      <c r="G294" s="3">
        <v>45495.0</v>
      </c>
      <c r="H294" s="2">
        <v>2.3773594E7</v>
      </c>
      <c r="I294" s="2">
        <v>2.2553892E7</v>
      </c>
      <c r="J294" s="2" t="s">
        <v>20</v>
      </c>
      <c r="K294" s="2" t="s">
        <v>25</v>
      </c>
      <c r="L294" s="2">
        <v>16.0</v>
      </c>
      <c r="M294" s="2">
        <v>187.0</v>
      </c>
      <c r="N294" s="2">
        <v>720412.0</v>
      </c>
      <c r="O294" s="4">
        <v>45292.0</v>
      </c>
      <c r="P294" s="2" t="b">
        <v>1</v>
      </c>
      <c r="Q294" s="4">
        <f>IFERROR(__xludf.DUMMYFUNCTION("IF(ISDATE(O294),O294,L294)"),45292.0)</f>
        <v>45292</v>
      </c>
      <c r="R294" s="2">
        <v>16.0</v>
      </c>
      <c r="T294" s="4">
        <v>45292.0</v>
      </c>
    </row>
    <row r="295">
      <c r="A295" s="2" t="s">
        <v>396</v>
      </c>
      <c r="B295" s="2" t="s">
        <v>256</v>
      </c>
      <c r="C295" s="2" t="s">
        <v>101</v>
      </c>
      <c r="D295" s="2" t="s">
        <v>33</v>
      </c>
      <c r="E295" s="2">
        <v>94.0</v>
      </c>
      <c r="F295" s="3">
        <v>45262.0</v>
      </c>
      <c r="G295" s="3">
        <v>45393.0</v>
      </c>
      <c r="H295" s="2">
        <v>2.1653903E7</v>
      </c>
      <c r="I295" s="2">
        <v>2.061684E7</v>
      </c>
      <c r="J295" s="2" t="s">
        <v>20</v>
      </c>
      <c r="K295" s="2" t="s">
        <v>25</v>
      </c>
      <c r="L295" s="2">
        <v>82.0</v>
      </c>
      <c r="M295" s="2">
        <v>131.0</v>
      </c>
      <c r="N295" s="2">
        <v>230361.0</v>
      </c>
      <c r="O295" s="6">
        <v>45261.0</v>
      </c>
      <c r="P295" s="2" t="b">
        <v>1</v>
      </c>
      <c r="Q295" s="6">
        <f>IFERROR(__xludf.DUMMYFUNCTION("IF(ISDATE(O295),O295,L295)"),45261.0)</f>
        <v>45261</v>
      </c>
      <c r="R295" s="2">
        <v>82.0</v>
      </c>
      <c r="T295" s="6">
        <v>45261.0</v>
      </c>
    </row>
    <row r="296">
      <c r="A296" s="2" t="s">
        <v>397</v>
      </c>
      <c r="B296" s="2" t="s">
        <v>32</v>
      </c>
      <c r="C296" s="2" t="s">
        <v>57</v>
      </c>
      <c r="D296" s="2" t="s">
        <v>72</v>
      </c>
      <c r="E296" s="2">
        <v>298.0</v>
      </c>
      <c r="F296" s="3">
        <v>45922.0</v>
      </c>
      <c r="G296" s="3">
        <v>45987.0</v>
      </c>
      <c r="H296" s="2">
        <v>1.96191146E8</v>
      </c>
      <c r="I296" s="2">
        <v>1.97652667E8</v>
      </c>
      <c r="J296" s="2" t="s">
        <v>20</v>
      </c>
      <c r="K296" s="2" t="s">
        <v>42</v>
      </c>
      <c r="L296" s="2">
        <v>43.0</v>
      </c>
      <c r="M296" s="2">
        <v>65.0</v>
      </c>
      <c r="N296" s="2">
        <v>658360.0</v>
      </c>
      <c r="O296" s="4">
        <v>45901.0</v>
      </c>
      <c r="P296" s="2" t="b">
        <v>1</v>
      </c>
      <c r="Q296" s="4">
        <f>IFERROR(__xludf.DUMMYFUNCTION("IF(ISDATE(O296),O296,L296)"),45901.0)</f>
        <v>45901</v>
      </c>
      <c r="R296" s="2">
        <v>43.0</v>
      </c>
      <c r="T296" s="4">
        <v>45901.0</v>
      </c>
    </row>
    <row r="297">
      <c r="A297" s="2" t="s">
        <v>398</v>
      </c>
      <c r="B297" s="2" t="s">
        <v>183</v>
      </c>
      <c r="C297" s="2" t="s">
        <v>28</v>
      </c>
      <c r="D297" s="2" t="s">
        <v>49</v>
      </c>
      <c r="E297" s="2">
        <v>56.0</v>
      </c>
      <c r="F297" s="3">
        <v>45281.0</v>
      </c>
      <c r="G297" s="3">
        <v>45473.0</v>
      </c>
      <c r="H297" s="2">
        <v>8.0026606E7</v>
      </c>
      <c r="I297" s="2">
        <v>8.5801201E7</v>
      </c>
      <c r="J297" s="2" t="s">
        <v>20</v>
      </c>
      <c r="K297" s="2" t="s">
        <v>21</v>
      </c>
      <c r="L297" s="2">
        <v>173.0</v>
      </c>
      <c r="M297" s="2">
        <v>192.0</v>
      </c>
      <c r="N297" s="2">
        <v>1429047.0</v>
      </c>
      <c r="O297" s="6">
        <v>45261.0</v>
      </c>
      <c r="P297" s="2" t="b">
        <v>1</v>
      </c>
      <c r="Q297" s="6">
        <f>IFERROR(__xludf.DUMMYFUNCTION("IF(ISDATE(O297),O297,L297)"),45261.0)</f>
        <v>45261</v>
      </c>
      <c r="R297" s="2">
        <v>173.0</v>
      </c>
      <c r="T297" s="6">
        <v>45261.0</v>
      </c>
    </row>
    <row r="298">
      <c r="A298" s="2" t="s">
        <v>399</v>
      </c>
      <c r="B298" s="2" t="s">
        <v>183</v>
      </c>
      <c r="C298" s="2" t="s">
        <v>24</v>
      </c>
      <c r="D298" s="2" t="s">
        <v>37</v>
      </c>
      <c r="E298" s="2">
        <v>353.0</v>
      </c>
      <c r="F298" s="3">
        <v>45933.0</v>
      </c>
      <c r="G298" s="3">
        <v>46073.0</v>
      </c>
      <c r="H298" s="2">
        <v>6.23150142E8</v>
      </c>
      <c r="I298" s="2">
        <v>6.70266198E8</v>
      </c>
      <c r="J298" s="2" t="s">
        <v>20</v>
      </c>
      <c r="K298" s="2" t="s">
        <v>42</v>
      </c>
      <c r="L298" s="2">
        <v>76.0</v>
      </c>
      <c r="M298" s="2">
        <v>140.0</v>
      </c>
      <c r="N298" s="2">
        <v>1765298.0</v>
      </c>
      <c r="O298" s="6">
        <v>45931.0</v>
      </c>
      <c r="P298" s="2" t="b">
        <v>1</v>
      </c>
      <c r="Q298" s="6">
        <f>IFERROR(__xludf.DUMMYFUNCTION("IF(ISDATE(O298),O298,L298)"),45931.0)</f>
        <v>45931</v>
      </c>
      <c r="R298" s="2">
        <v>76.0</v>
      </c>
      <c r="T298" s="6">
        <v>45931.0</v>
      </c>
    </row>
    <row r="299">
      <c r="A299" s="2" t="s">
        <v>400</v>
      </c>
      <c r="B299" s="2" t="s">
        <v>113</v>
      </c>
      <c r="C299" s="2" t="s">
        <v>28</v>
      </c>
      <c r="D299" s="2" t="s">
        <v>72</v>
      </c>
      <c r="E299" s="2">
        <v>313.0</v>
      </c>
      <c r="F299" s="3">
        <v>45844.0</v>
      </c>
      <c r="G299" s="3">
        <v>46050.0</v>
      </c>
      <c r="H299" s="2">
        <v>4.23320067E8</v>
      </c>
      <c r="I299" s="2">
        <v>3.95928007E8</v>
      </c>
      <c r="J299" s="2" t="s">
        <v>20</v>
      </c>
      <c r="K299" s="2" t="s">
        <v>42</v>
      </c>
      <c r="L299" s="2">
        <v>168.0</v>
      </c>
      <c r="M299" s="2">
        <v>206.0</v>
      </c>
      <c r="N299" s="2">
        <v>1352460.0</v>
      </c>
      <c r="O299" s="4">
        <v>45839.0</v>
      </c>
      <c r="P299" s="2" t="b">
        <v>1</v>
      </c>
      <c r="Q299" s="4">
        <f>IFERROR(__xludf.DUMMYFUNCTION("IF(ISDATE(O299),O299,L299)"),45839.0)</f>
        <v>45839</v>
      </c>
      <c r="R299" s="2">
        <v>168.0</v>
      </c>
      <c r="T299" s="4">
        <v>45839.0</v>
      </c>
    </row>
    <row r="300">
      <c r="A300" s="2" t="s">
        <v>401</v>
      </c>
      <c r="B300" s="2" t="s">
        <v>204</v>
      </c>
      <c r="C300" s="2" t="s">
        <v>57</v>
      </c>
      <c r="D300" s="2" t="s">
        <v>33</v>
      </c>
      <c r="E300" s="2">
        <v>102.0</v>
      </c>
      <c r="F300" s="3">
        <v>45372.0</v>
      </c>
      <c r="G300" s="3">
        <v>45420.0</v>
      </c>
      <c r="H300" s="2">
        <v>3.0835291E7</v>
      </c>
      <c r="I300" s="2">
        <v>2.9656104E7</v>
      </c>
      <c r="J300" s="2" t="s">
        <v>20</v>
      </c>
      <c r="K300" s="2" t="s">
        <v>30</v>
      </c>
      <c r="L300" s="2">
        <v>105.0</v>
      </c>
      <c r="M300" s="2">
        <v>48.0</v>
      </c>
      <c r="N300" s="2">
        <v>302307.0</v>
      </c>
      <c r="O300" s="4">
        <v>45352.0</v>
      </c>
      <c r="P300" s="2" t="b">
        <v>1</v>
      </c>
      <c r="Q300" s="4">
        <f>IFERROR(__xludf.DUMMYFUNCTION("IF(ISDATE(O300),O300,L300)"),45352.0)</f>
        <v>45352</v>
      </c>
      <c r="R300" s="2">
        <v>105.0</v>
      </c>
      <c r="T300" s="4">
        <v>45352.0</v>
      </c>
    </row>
    <row r="301">
      <c r="A301" s="2" t="s">
        <v>402</v>
      </c>
      <c r="B301" s="2" t="s">
        <v>95</v>
      </c>
      <c r="C301" s="2" t="s">
        <v>18</v>
      </c>
      <c r="D301" s="2" t="s">
        <v>67</v>
      </c>
      <c r="E301" s="2">
        <v>35.0</v>
      </c>
      <c r="F301" s="3">
        <v>45166.0</v>
      </c>
      <c r="G301" s="3">
        <v>45232.0</v>
      </c>
      <c r="H301" s="2">
        <v>6204490.0</v>
      </c>
      <c r="I301" s="2">
        <v>6472669.0</v>
      </c>
      <c r="J301" s="2" t="s">
        <v>20</v>
      </c>
      <c r="K301" s="2" t="s">
        <v>21</v>
      </c>
      <c r="L301" s="2">
        <v>44.0</v>
      </c>
      <c r="M301" s="2">
        <v>66.0</v>
      </c>
      <c r="N301" s="2">
        <v>177271.0</v>
      </c>
      <c r="O301" s="4">
        <v>45139.0</v>
      </c>
      <c r="P301" s="2" t="b">
        <v>1</v>
      </c>
      <c r="Q301" s="4">
        <f>IFERROR(__xludf.DUMMYFUNCTION("IF(ISDATE(O301),O301,L301)"),45139.0)</f>
        <v>45139</v>
      </c>
      <c r="R301" s="2">
        <v>44.0</v>
      </c>
      <c r="T301" s="4">
        <v>45139.0</v>
      </c>
    </row>
    <row r="302">
      <c r="A302" s="2" t="s">
        <v>403</v>
      </c>
      <c r="B302" s="2" t="s">
        <v>123</v>
      </c>
      <c r="C302" s="2" t="s">
        <v>28</v>
      </c>
      <c r="D302" s="2" t="s">
        <v>81</v>
      </c>
      <c r="E302" s="2">
        <v>4217.0</v>
      </c>
      <c r="F302" s="3">
        <v>45050.0</v>
      </c>
      <c r="G302" s="3">
        <v>45118.0</v>
      </c>
      <c r="H302" s="2">
        <v>2.216839299E9</v>
      </c>
      <c r="I302" s="2">
        <v>2.203838545E9</v>
      </c>
      <c r="J302" s="2" t="s">
        <v>20</v>
      </c>
      <c r="K302" s="2" t="s">
        <v>21</v>
      </c>
      <c r="L302" s="2">
        <v>28.0</v>
      </c>
      <c r="M302" s="2">
        <v>68.0</v>
      </c>
      <c r="N302" s="2">
        <v>525691.0</v>
      </c>
      <c r="O302" s="4">
        <v>45047.0</v>
      </c>
      <c r="P302" s="2" t="b">
        <v>1</v>
      </c>
      <c r="Q302" s="4">
        <f>IFERROR(__xludf.DUMMYFUNCTION("IF(ISDATE(O302),O302,L302)"),45047.0)</f>
        <v>45047</v>
      </c>
      <c r="R302" s="2">
        <v>28.0</v>
      </c>
      <c r="T302" s="4">
        <v>45047.0</v>
      </c>
    </row>
    <row r="303">
      <c r="A303" s="2" t="s">
        <v>404</v>
      </c>
      <c r="B303" s="2" t="s">
        <v>27</v>
      </c>
      <c r="C303" s="2" t="s">
        <v>28</v>
      </c>
      <c r="D303" s="2" t="s">
        <v>37</v>
      </c>
      <c r="E303" s="2">
        <v>608.0</v>
      </c>
      <c r="F303" s="3">
        <v>45782.0</v>
      </c>
      <c r="G303" s="2">
        <v>1.007898169E9</v>
      </c>
      <c r="H303" s="2" t="s">
        <v>41</v>
      </c>
      <c r="I303" s="2" t="s">
        <v>42</v>
      </c>
      <c r="J303" s="2">
        <v>96.0</v>
      </c>
      <c r="K303" s="2">
        <v>1657727.0</v>
      </c>
      <c r="L303" s="4">
        <v>45778.0</v>
      </c>
      <c r="M303" s="2" t="b">
        <v>0</v>
      </c>
      <c r="Q303" s="4">
        <f>IFERROR(__xludf.DUMMYFUNCTION("IF(ISDATE(O303),O303,L303)"),45778.0)</f>
        <v>45778</v>
      </c>
      <c r="R303" s="2">
        <v>96.0</v>
      </c>
      <c r="T303" s="4">
        <v>45778.0</v>
      </c>
    </row>
    <row r="304">
      <c r="A304" s="2" t="s">
        <v>405</v>
      </c>
      <c r="B304" s="2" t="s">
        <v>256</v>
      </c>
      <c r="C304" s="2" t="s">
        <v>24</v>
      </c>
      <c r="D304" s="2" t="s">
        <v>19</v>
      </c>
      <c r="E304" s="2">
        <v>61.0</v>
      </c>
      <c r="F304" s="3">
        <v>45766.0</v>
      </c>
      <c r="G304" s="2">
        <v>4.1482339E7</v>
      </c>
      <c r="H304" s="2" t="s">
        <v>41</v>
      </c>
      <c r="I304" s="2" t="s">
        <v>73</v>
      </c>
      <c r="J304" s="2">
        <v>147.0</v>
      </c>
      <c r="K304" s="2">
        <v>680038.0</v>
      </c>
      <c r="L304" s="4">
        <v>45748.0</v>
      </c>
      <c r="M304" s="2" t="b">
        <v>0</v>
      </c>
      <c r="Q304" s="4">
        <f>IFERROR(__xludf.DUMMYFUNCTION("IF(ISDATE(O304),O304,L304)"),45748.0)</f>
        <v>45748</v>
      </c>
      <c r="R304" s="2">
        <v>147.0</v>
      </c>
      <c r="T304" s="4">
        <v>45748.0</v>
      </c>
    </row>
    <row r="305">
      <c r="A305" s="2" t="s">
        <v>406</v>
      </c>
      <c r="B305" s="2" t="s">
        <v>129</v>
      </c>
      <c r="C305" s="2" t="s">
        <v>57</v>
      </c>
      <c r="D305" s="2" t="s">
        <v>72</v>
      </c>
      <c r="E305" s="2">
        <v>204.0</v>
      </c>
      <c r="F305" s="3">
        <v>45750.0</v>
      </c>
      <c r="G305" s="2">
        <v>1.00440394E8</v>
      </c>
      <c r="H305" s="2" t="s">
        <v>41</v>
      </c>
      <c r="I305" s="2" t="s">
        <v>42</v>
      </c>
      <c r="J305" s="2">
        <v>38.0</v>
      </c>
      <c r="K305" s="2">
        <v>492355.0</v>
      </c>
      <c r="L305" s="4">
        <v>45748.0</v>
      </c>
      <c r="M305" s="2" t="b">
        <v>0</v>
      </c>
      <c r="Q305" s="4">
        <f>IFERROR(__xludf.DUMMYFUNCTION("IF(ISDATE(O305),O305,L305)"),45748.0)</f>
        <v>45748</v>
      </c>
      <c r="R305" s="2">
        <v>38.0</v>
      </c>
      <c r="T305" s="4">
        <v>45748.0</v>
      </c>
    </row>
    <row r="306">
      <c r="A306" s="2" t="s">
        <v>407</v>
      </c>
      <c r="B306" s="2" t="s">
        <v>86</v>
      </c>
      <c r="C306" s="2" t="s">
        <v>28</v>
      </c>
      <c r="D306" s="2" t="s">
        <v>49</v>
      </c>
      <c r="E306" s="2">
        <v>145.0</v>
      </c>
      <c r="F306" s="3">
        <v>45527.0</v>
      </c>
      <c r="G306" s="3">
        <v>45561.0</v>
      </c>
      <c r="H306" s="2">
        <v>1.48172148E8</v>
      </c>
      <c r="I306" s="2">
        <v>1.37846849E8</v>
      </c>
      <c r="J306" s="2" t="s">
        <v>20</v>
      </c>
      <c r="K306" s="2" t="s">
        <v>73</v>
      </c>
      <c r="L306" s="2">
        <v>37.0</v>
      </c>
      <c r="M306" s="2">
        <v>34.0</v>
      </c>
      <c r="N306" s="2">
        <v>1021877.0</v>
      </c>
      <c r="O306" s="4">
        <v>45505.0</v>
      </c>
      <c r="P306" s="2" t="b">
        <v>1</v>
      </c>
      <c r="Q306" s="4">
        <f>IFERROR(__xludf.DUMMYFUNCTION("IF(ISDATE(O306),O306,L306)"),45505.0)</f>
        <v>45505</v>
      </c>
      <c r="R306" s="2">
        <v>37.0</v>
      </c>
      <c r="T306" s="4">
        <v>45505.0</v>
      </c>
    </row>
    <row r="307">
      <c r="A307" s="2" t="s">
        <v>408</v>
      </c>
      <c r="B307" s="2" t="s">
        <v>104</v>
      </c>
      <c r="C307" s="2" t="s">
        <v>28</v>
      </c>
      <c r="D307" s="2" t="s">
        <v>67</v>
      </c>
      <c r="E307" s="2">
        <v>28.0</v>
      </c>
      <c r="F307" s="3">
        <v>44978.0</v>
      </c>
      <c r="G307" s="3">
        <v>45139.0</v>
      </c>
      <c r="H307" s="2">
        <v>1.7047554E7</v>
      </c>
      <c r="I307" s="2">
        <v>1.7659713E7</v>
      </c>
      <c r="J307" s="2" t="s">
        <v>20</v>
      </c>
      <c r="K307" s="2" t="s">
        <v>73</v>
      </c>
      <c r="L307" s="2">
        <v>12.0</v>
      </c>
      <c r="M307" s="2">
        <v>161.0</v>
      </c>
      <c r="N307" s="2">
        <v>608841.0</v>
      </c>
      <c r="O307" s="4">
        <v>44958.0</v>
      </c>
      <c r="P307" s="2" t="b">
        <v>1</v>
      </c>
      <c r="Q307" s="4">
        <f>IFERROR(__xludf.DUMMYFUNCTION("IF(ISDATE(O307),O307,L307)"),44958.0)</f>
        <v>44958</v>
      </c>
      <c r="R307" s="2">
        <v>12.0</v>
      </c>
      <c r="T307" s="4">
        <v>44958.0</v>
      </c>
    </row>
    <row r="308">
      <c r="A308" s="2" t="s">
        <v>409</v>
      </c>
      <c r="B308" s="2" t="s">
        <v>88</v>
      </c>
      <c r="C308" s="2" t="s">
        <v>24</v>
      </c>
      <c r="D308" s="2" t="s">
        <v>49</v>
      </c>
      <c r="E308" s="2">
        <v>94.0</v>
      </c>
      <c r="F308" s="3">
        <v>45857.0</v>
      </c>
      <c r="G308" s="3">
        <v>45943.0</v>
      </c>
      <c r="H308" s="2">
        <v>8.7969727E7</v>
      </c>
      <c r="I308" s="2">
        <v>8.3024159E7</v>
      </c>
      <c r="J308" s="2" t="s">
        <v>20</v>
      </c>
      <c r="K308" s="2" t="s">
        <v>25</v>
      </c>
      <c r="L308" s="2">
        <v>163.0</v>
      </c>
      <c r="M308" s="2">
        <v>86.0</v>
      </c>
      <c r="N308" s="2">
        <v>935848.0</v>
      </c>
      <c r="O308" s="4">
        <v>45839.0</v>
      </c>
      <c r="P308" s="2" t="b">
        <v>1</v>
      </c>
      <c r="Q308" s="4">
        <f>IFERROR(__xludf.DUMMYFUNCTION("IF(ISDATE(O308),O308,L308)"),45839.0)</f>
        <v>45839</v>
      </c>
      <c r="R308" s="2">
        <v>163.0</v>
      </c>
      <c r="T308" s="4">
        <v>45839.0</v>
      </c>
    </row>
    <row r="309">
      <c r="A309" s="2" t="s">
        <v>410</v>
      </c>
      <c r="B309" s="2" t="s">
        <v>52</v>
      </c>
      <c r="C309" s="2" t="s">
        <v>64</v>
      </c>
      <c r="D309" s="2" t="s">
        <v>37</v>
      </c>
      <c r="E309" s="2">
        <v>555.0</v>
      </c>
      <c r="F309" s="3">
        <v>45417.0</v>
      </c>
      <c r="G309" s="3">
        <v>45503.0</v>
      </c>
      <c r="H309" s="2">
        <v>5.51211597E8</v>
      </c>
      <c r="I309" s="2">
        <v>5.44088604E8</v>
      </c>
      <c r="J309" s="2" t="s">
        <v>20</v>
      </c>
      <c r="K309" s="2" t="s">
        <v>25</v>
      </c>
      <c r="L309" s="2">
        <v>68.0</v>
      </c>
      <c r="M309" s="2">
        <v>86.0</v>
      </c>
      <c r="N309" s="2">
        <v>993174.0</v>
      </c>
      <c r="O309" s="4">
        <v>45413.0</v>
      </c>
      <c r="P309" s="2" t="b">
        <v>1</v>
      </c>
      <c r="Q309" s="4">
        <f>IFERROR(__xludf.DUMMYFUNCTION("IF(ISDATE(O309),O309,L309)"),45413.0)</f>
        <v>45413</v>
      </c>
      <c r="R309" s="2">
        <v>68.0</v>
      </c>
      <c r="T309" s="4">
        <v>45413.0</v>
      </c>
    </row>
    <row r="310">
      <c r="A310" s="2" t="s">
        <v>411</v>
      </c>
      <c r="B310" s="2" t="s">
        <v>104</v>
      </c>
      <c r="C310" s="2" t="s">
        <v>18</v>
      </c>
      <c r="D310" s="2" t="s">
        <v>58</v>
      </c>
      <c r="E310" s="2">
        <v>253.0</v>
      </c>
      <c r="F310" s="3">
        <v>45727.0</v>
      </c>
      <c r="G310" s="2">
        <v>8.3207802E7</v>
      </c>
      <c r="H310" s="2" t="s">
        <v>69</v>
      </c>
      <c r="I310" s="2" t="s">
        <v>73</v>
      </c>
      <c r="J310" s="2">
        <v>93.0</v>
      </c>
      <c r="K310" s="2">
        <v>328885.0</v>
      </c>
      <c r="L310" s="4">
        <v>45717.0</v>
      </c>
      <c r="M310" s="2" t="b">
        <v>0</v>
      </c>
      <c r="Q310" s="4">
        <f>IFERROR(__xludf.DUMMYFUNCTION("IF(ISDATE(O310),O310,L310)"),45717.0)</f>
        <v>45717</v>
      </c>
      <c r="R310" s="2">
        <v>93.0</v>
      </c>
      <c r="T310" s="4">
        <v>45717.0</v>
      </c>
    </row>
    <row r="311">
      <c r="A311" s="2" t="s">
        <v>412</v>
      </c>
      <c r="B311" s="2" t="s">
        <v>75</v>
      </c>
      <c r="C311" s="2" t="s">
        <v>93</v>
      </c>
      <c r="D311" s="2" t="s">
        <v>58</v>
      </c>
      <c r="E311" s="2">
        <v>132.0</v>
      </c>
      <c r="F311" s="3">
        <v>45111.0</v>
      </c>
      <c r="G311" s="3">
        <v>45278.0</v>
      </c>
      <c r="H311" s="2">
        <v>4.0842207E7</v>
      </c>
      <c r="I311" s="2">
        <v>4.3428432E7</v>
      </c>
      <c r="J311" s="2" t="s">
        <v>20</v>
      </c>
      <c r="K311" s="2" t="s">
        <v>30</v>
      </c>
      <c r="L311" s="2">
        <v>19.0</v>
      </c>
      <c r="M311" s="2">
        <v>167.0</v>
      </c>
      <c r="N311" s="2">
        <v>309411.0</v>
      </c>
      <c r="O311" s="4">
        <v>45108.0</v>
      </c>
      <c r="P311" s="2" t="b">
        <v>1</v>
      </c>
      <c r="Q311" s="4">
        <f>IFERROR(__xludf.DUMMYFUNCTION("IF(ISDATE(O311),O311,L311)"),45108.0)</f>
        <v>45108</v>
      </c>
      <c r="R311" s="2">
        <v>19.0</v>
      </c>
      <c r="T311" s="4">
        <v>45108.0</v>
      </c>
    </row>
    <row r="312">
      <c r="A312" s="2" t="s">
        <v>413</v>
      </c>
      <c r="B312" s="2" t="s">
        <v>32</v>
      </c>
      <c r="C312" s="2" t="s">
        <v>57</v>
      </c>
      <c r="D312" s="2" t="s">
        <v>81</v>
      </c>
      <c r="E312" s="2">
        <v>4737.0</v>
      </c>
      <c r="F312" s="3">
        <v>45165.0</v>
      </c>
      <c r="G312" s="2">
        <v>8.63249192E8</v>
      </c>
      <c r="H312" s="2" t="s">
        <v>41</v>
      </c>
      <c r="I312" s="2" t="s">
        <v>42</v>
      </c>
      <c r="J312" s="2">
        <v>73.0</v>
      </c>
      <c r="K312" s="2">
        <v>182235.0</v>
      </c>
      <c r="L312" s="4">
        <v>45139.0</v>
      </c>
      <c r="M312" s="2" t="b">
        <v>0</v>
      </c>
      <c r="Q312" s="4">
        <f>IFERROR(__xludf.DUMMYFUNCTION("IF(ISDATE(O312),O312,L312)"),45139.0)</f>
        <v>45139</v>
      </c>
      <c r="R312" s="2">
        <v>73.0</v>
      </c>
      <c r="T312" s="4">
        <v>45139.0</v>
      </c>
      <c r="U312" s="5" t="s">
        <v>414</v>
      </c>
    </row>
    <row r="313">
      <c r="A313" s="2" t="s">
        <v>415</v>
      </c>
      <c r="B313" s="2" t="s">
        <v>183</v>
      </c>
      <c r="C313" s="2" t="s">
        <v>64</v>
      </c>
      <c r="D313" s="2" t="s">
        <v>19</v>
      </c>
      <c r="E313" s="2">
        <v>64.0</v>
      </c>
      <c r="F313" s="3">
        <v>45793.0</v>
      </c>
      <c r="G313" s="2">
        <v>2.4282246E7</v>
      </c>
      <c r="H313" s="2" t="s">
        <v>69</v>
      </c>
      <c r="I313" s="2" t="s">
        <v>42</v>
      </c>
      <c r="J313" s="2">
        <v>50.0</v>
      </c>
      <c r="K313" s="2">
        <v>379410.0</v>
      </c>
      <c r="L313" s="4">
        <v>45778.0</v>
      </c>
      <c r="M313" s="2" t="b">
        <v>0</v>
      </c>
      <c r="Q313" s="4">
        <f>IFERROR(__xludf.DUMMYFUNCTION("IF(ISDATE(O313),O313,L313)"),45778.0)</f>
        <v>45778</v>
      </c>
      <c r="R313" s="2">
        <v>50.0</v>
      </c>
      <c r="T313" s="4">
        <v>45778.0</v>
      </c>
    </row>
    <row r="314">
      <c r="A314" s="2" t="s">
        <v>416</v>
      </c>
      <c r="B314" s="2" t="s">
        <v>204</v>
      </c>
      <c r="C314" s="2" t="s">
        <v>28</v>
      </c>
      <c r="D314" s="2" t="s">
        <v>67</v>
      </c>
      <c r="E314" s="2">
        <v>36.0</v>
      </c>
      <c r="F314" s="3">
        <v>45647.0</v>
      </c>
      <c r="G314" s="2">
        <v>2.303598E7</v>
      </c>
      <c r="H314" s="2" t="s">
        <v>34</v>
      </c>
      <c r="I314" s="2" t="s">
        <v>25</v>
      </c>
      <c r="J314" s="2">
        <v>53.0</v>
      </c>
      <c r="K314" s="2">
        <v>639888.0</v>
      </c>
      <c r="L314" s="6">
        <v>45627.0</v>
      </c>
      <c r="M314" s="2" t="b">
        <v>0</v>
      </c>
      <c r="Q314" s="6">
        <f>IFERROR(__xludf.DUMMYFUNCTION("IF(ISDATE(O314),O314,L314)"),45627.0)</f>
        <v>45627</v>
      </c>
      <c r="R314" s="2">
        <v>53.0</v>
      </c>
      <c r="T314" s="6">
        <v>45627.0</v>
      </c>
    </row>
    <row r="315">
      <c r="A315" s="2" t="s">
        <v>417</v>
      </c>
      <c r="B315" s="2" t="s">
        <v>17</v>
      </c>
      <c r="C315" s="2" t="s">
        <v>40</v>
      </c>
      <c r="D315" s="2" t="s">
        <v>81</v>
      </c>
      <c r="E315" s="2">
        <v>4841.0</v>
      </c>
      <c r="F315" s="3">
        <v>45429.0</v>
      </c>
      <c r="G315" s="3">
        <v>45458.0</v>
      </c>
      <c r="H315" s="2">
        <v>6.8479528E8</v>
      </c>
      <c r="I315" s="2">
        <v>6.5398595E8</v>
      </c>
      <c r="J315" s="2" t="s">
        <v>20</v>
      </c>
      <c r="K315" s="2" t="s">
        <v>25</v>
      </c>
      <c r="L315" s="2">
        <v>127.0</v>
      </c>
      <c r="M315" s="2">
        <v>29.0</v>
      </c>
      <c r="N315" s="2">
        <v>141457.0</v>
      </c>
      <c r="O315" s="4">
        <v>45413.0</v>
      </c>
      <c r="P315" s="2" t="b">
        <v>1</v>
      </c>
      <c r="Q315" s="4">
        <f>IFERROR(__xludf.DUMMYFUNCTION("IF(ISDATE(O315),O315,L315)"),45413.0)</f>
        <v>45413</v>
      </c>
      <c r="R315" s="2">
        <v>127.0</v>
      </c>
      <c r="T315" s="4">
        <v>45413.0</v>
      </c>
    </row>
    <row r="316">
      <c r="A316" s="2" t="s">
        <v>418</v>
      </c>
      <c r="B316" s="2" t="s">
        <v>160</v>
      </c>
      <c r="C316" s="2" t="s">
        <v>28</v>
      </c>
      <c r="D316" s="2" t="s">
        <v>29</v>
      </c>
      <c r="E316" s="2">
        <v>2050.0</v>
      </c>
      <c r="F316" s="3">
        <v>45661.0</v>
      </c>
      <c r="G316" s="3">
        <v>45758.0</v>
      </c>
      <c r="H316" s="2">
        <v>6.85185977E8</v>
      </c>
      <c r="I316" s="2">
        <v>6.46564731E8</v>
      </c>
      <c r="J316" s="2" t="s">
        <v>20</v>
      </c>
      <c r="K316" s="2" t="s">
        <v>42</v>
      </c>
      <c r="L316" s="2">
        <v>33.0</v>
      </c>
      <c r="M316" s="2">
        <v>97.0</v>
      </c>
      <c r="N316" s="2">
        <v>334237.0</v>
      </c>
      <c r="O316" s="4">
        <v>45658.0</v>
      </c>
      <c r="P316" s="2" t="b">
        <v>1</v>
      </c>
      <c r="Q316" s="4">
        <f>IFERROR(__xludf.DUMMYFUNCTION("IF(ISDATE(O316),O316,L316)"),45658.0)</f>
        <v>45658</v>
      </c>
      <c r="R316" s="2">
        <v>33.0</v>
      </c>
      <c r="T316" s="4">
        <v>45658.0</v>
      </c>
    </row>
    <row r="317">
      <c r="A317" s="2" t="s">
        <v>419</v>
      </c>
      <c r="B317" s="2" t="s">
        <v>142</v>
      </c>
      <c r="C317" s="2" t="s">
        <v>40</v>
      </c>
      <c r="D317" s="2" t="s">
        <v>67</v>
      </c>
      <c r="E317" s="2">
        <v>27.0</v>
      </c>
      <c r="F317" s="3">
        <v>45891.0</v>
      </c>
      <c r="G317" s="3">
        <v>46056.0</v>
      </c>
      <c r="H317" s="2">
        <v>4207200.0</v>
      </c>
      <c r="I317" s="2">
        <v>4073757.0</v>
      </c>
      <c r="J317" s="2" t="s">
        <v>20</v>
      </c>
      <c r="K317" s="2" t="s">
        <v>42</v>
      </c>
      <c r="L317" s="2">
        <v>45.0</v>
      </c>
      <c r="M317" s="2">
        <v>165.0</v>
      </c>
      <c r="N317" s="2">
        <v>155822.0</v>
      </c>
      <c r="O317" s="4">
        <v>45870.0</v>
      </c>
      <c r="P317" s="2" t="b">
        <v>1</v>
      </c>
      <c r="Q317" s="4">
        <f>IFERROR(__xludf.DUMMYFUNCTION("IF(ISDATE(O317),O317,L317)"),45870.0)</f>
        <v>45870</v>
      </c>
      <c r="R317" s="2">
        <v>45.0</v>
      </c>
      <c r="T317" s="4">
        <v>45870.0</v>
      </c>
    </row>
    <row r="318">
      <c r="A318" s="2" t="s">
        <v>420</v>
      </c>
      <c r="B318" s="2" t="s">
        <v>349</v>
      </c>
      <c r="C318" s="2" t="s">
        <v>57</v>
      </c>
      <c r="D318" s="2" t="s">
        <v>49</v>
      </c>
      <c r="E318" s="2">
        <v>252.0</v>
      </c>
      <c r="F318" s="3">
        <v>45251.0</v>
      </c>
      <c r="G318" s="3">
        <v>45409.0</v>
      </c>
      <c r="H318" s="2">
        <v>1.27281677E8</v>
      </c>
      <c r="I318" s="2">
        <v>1.36015138E8</v>
      </c>
      <c r="J318" s="2" t="s">
        <v>20</v>
      </c>
      <c r="K318" s="2" t="s">
        <v>30</v>
      </c>
      <c r="L318" s="2">
        <v>62.0</v>
      </c>
      <c r="M318" s="2">
        <v>158.0</v>
      </c>
      <c r="N318" s="2">
        <v>505086.0</v>
      </c>
      <c r="O318" s="6">
        <v>45231.0</v>
      </c>
      <c r="P318" s="2" t="b">
        <v>1</v>
      </c>
      <c r="Q318" s="6">
        <f>IFERROR(__xludf.DUMMYFUNCTION("IF(ISDATE(O318),O318,L318)"),45231.0)</f>
        <v>45231</v>
      </c>
      <c r="R318" s="2">
        <v>62.0</v>
      </c>
      <c r="T318" s="6">
        <v>45231.0</v>
      </c>
    </row>
    <row r="319">
      <c r="A319" s="2" t="s">
        <v>421</v>
      </c>
      <c r="B319" s="2" t="s">
        <v>220</v>
      </c>
      <c r="C319" s="2" t="s">
        <v>18</v>
      </c>
      <c r="D319" s="2" t="s">
        <v>102</v>
      </c>
      <c r="E319" s="2">
        <v>148.0</v>
      </c>
      <c r="F319" s="3">
        <v>45632.0</v>
      </c>
      <c r="G319" s="3">
        <v>45692.0</v>
      </c>
      <c r="H319" s="2">
        <v>5.9131377E7</v>
      </c>
      <c r="I319" s="2">
        <v>6.337737E7</v>
      </c>
      <c r="J319" s="2" t="s">
        <v>20</v>
      </c>
      <c r="K319" s="2" t="s">
        <v>25</v>
      </c>
      <c r="L319" s="2">
        <v>105.0</v>
      </c>
      <c r="M319" s="2">
        <v>60.0</v>
      </c>
      <c r="N319" s="2">
        <v>399536.0</v>
      </c>
      <c r="O319" s="6">
        <v>45627.0</v>
      </c>
      <c r="P319" s="2" t="b">
        <v>1</v>
      </c>
      <c r="Q319" s="6">
        <f>IFERROR(__xludf.DUMMYFUNCTION("IF(ISDATE(O319),O319,L319)"),45627.0)</f>
        <v>45627</v>
      </c>
      <c r="R319" s="2">
        <v>105.0</v>
      </c>
      <c r="T319" s="6">
        <v>45627.0</v>
      </c>
    </row>
    <row r="320">
      <c r="A320" s="2" t="s">
        <v>422</v>
      </c>
      <c r="B320" s="2" t="s">
        <v>44</v>
      </c>
      <c r="C320" s="2" t="s">
        <v>40</v>
      </c>
      <c r="D320" s="2" t="s">
        <v>29</v>
      </c>
      <c r="E320" s="2">
        <v>665.0</v>
      </c>
      <c r="F320" s="3">
        <v>45252.0</v>
      </c>
      <c r="G320" s="2">
        <v>7.0200915E7</v>
      </c>
      <c r="H320" s="2" t="s">
        <v>34</v>
      </c>
      <c r="I320" s="2" t="s">
        <v>25</v>
      </c>
      <c r="J320" s="2">
        <v>31.0</v>
      </c>
      <c r="K320" s="2">
        <v>105565.0</v>
      </c>
      <c r="L320" s="6">
        <v>45231.0</v>
      </c>
      <c r="M320" s="2" t="b">
        <v>0</v>
      </c>
      <c r="Q320" s="6">
        <f>IFERROR(__xludf.DUMMYFUNCTION("IF(ISDATE(O320),O320,L320)"),45231.0)</f>
        <v>45231</v>
      </c>
      <c r="R320" s="2">
        <v>31.0</v>
      </c>
      <c r="T320" s="6">
        <v>45231.0</v>
      </c>
    </row>
    <row r="321">
      <c r="A321" s="2" t="s">
        <v>423</v>
      </c>
      <c r="B321" s="2" t="s">
        <v>227</v>
      </c>
      <c r="C321" s="2" t="s">
        <v>93</v>
      </c>
      <c r="D321" s="2" t="s">
        <v>102</v>
      </c>
      <c r="E321" s="2">
        <v>142.0</v>
      </c>
      <c r="F321" s="3">
        <v>45282.0</v>
      </c>
      <c r="G321" s="2">
        <v>5.8813278E7</v>
      </c>
      <c r="H321" s="2" t="s">
        <v>41</v>
      </c>
      <c r="I321" s="2" t="s">
        <v>21</v>
      </c>
      <c r="J321" s="2">
        <v>176.0</v>
      </c>
      <c r="K321" s="2">
        <v>414178.0</v>
      </c>
      <c r="L321" s="6">
        <v>45261.0</v>
      </c>
      <c r="M321" s="2" t="b">
        <v>0</v>
      </c>
      <c r="Q321" s="6">
        <f>IFERROR(__xludf.DUMMYFUNCTION("IF(ISDATE(O321),O321,L321)"),45261.0)</f>
        <v>45261</v>
      </c>
      <c r="R321" s="2">
        <v>176.0</v>
      </c>
      <c r="T321" s="6">
        <v>45261.0</v>
      </c>
    </row>
    <row r="322">
      <c r="A322" s="2" t="s">
        <v>424</v>
      </c>
      <c r="B322" s="2" t="s">
        <v>46</v>
      </c>
      <c r="C322" s="2" t="s">
        <v>18</v>
      </c>
      <c r="D322" s="2" t="s">
        <v>67</v>
      </c>
      <c r="E322" s="2">
        <v>39.0</v>
      </c>
      <c r="F322" s="3">
        <v>45141.0</v>
      </c>
      <c r="G322" s="3">
        <v>45173.0</v>
      </c>
      <c r="H322" s="2">
        <v>7569031.0</v>
      </c>
      <c r="I322" s="2">
        <v>7916625.0</v>
      </c>
      <c r="J322" s="2" t="s">
        <v>20</v>
      </c>
      <c r="K322" s="2" t="s">
        <v>21</v>
      </c>
      <c r="L322" s="2">
        <v>17.0</v>
      </c>
      <c r="M322" s="2">
        <v>32.0</v>
      </c>
      <c r="N322" s="2">
        <v>194078.0</v>
      </c>
      <c r="O322" s="4">
        <v>45139.0</v>
      </c>
      <c r="P322" s="2" t="b">
        <v>1</v>
      </c>
      <c r="Q322" s="4">
        <f>IFERROR(__xludf.DUMMYFUNCTION("IF(ISDATE(O322),O322,L322)"),45139.0)</f>
        <v>45139</v>
      </c>
      <c r="R322" s="2">
        <v>17.0</v>
      </c>
      <c r="T322" s="4">
        <v>45139.0</v>
      </c>
    </row>
    <row r="323">
      <c r="A323" s="2" t="s">
        <v>425</v>
      </c>
      <c r="B323" s="2" t="s">
        <v>284</v>
      </c>
      <c r="C323" s="2" t="s">
        <v>24</v>
      </c>
      <c r="D323" s="2" t="s">
        <v>49</v>
      </c>
      <c r="E323" s="2">
        <v>298.0</v>
      </c>
      <c r="F323" s="3">
        <v>45431.0</v>
      </c>
      <c r="G323" s="2">
        <v>2.89731311E8</v>
      </c>
      <c r="H323" s="2" t="s">
        <v>69</v>
      </c>
      <c r="I323" s="2" t="s">
        <v>21</v>
      </c>
      <c r="J323" s="2">
        <v>127.0</v>
      </c>
      <c r="K323" s="2">
        <v>972253.0</v>
      </c>
      <c r="L323" s="4">
        <v>45413.0</v>
      </c>
      <c r="M323" s="2" t="b">
        <v>0</v>
      </c>
      <c r="Q323" s="4">
        <f>IFERROR(__xludf.DUMMYFUNCTION("IF(ISDATE(O323),O323,L323)"),45413.0)</f>
        <v>45413</v>
      </c>
      <c r="R323" s="2">
        <v>127.0</v>
      </c>
      <c r="T323" s="4">
        <v>45413.0</v>
      </c>
    </row>
    <row r="324">
      <c r="A324" s="2" t="s">
        <v>426</v>
      </c>
      <c r="B324" s="2" t="s">
        <v>284</v>
      </c>
      <c r="C324" s="2" t="s">
        <v>57</v>
      </c>
      <c r="D324" s="2" t="s">
        <v>29</v>
      </c>
      <c r="E324" s="2">
        <v>2247.0</v>
      </c>
      <c r="F324" s="3">
        <v>45002.0</v>
      </c>
      <c r="G324" s="2">
        <v>3.13201996E8</v>
      </c>
      <c r="H324" s="2" t="s">
        <v>41</v>
      </c>
      <c r="I324" s="2" t="s">
        <v>30</v>
      </c>
      <c r="J324" s="2">
        <v>71.0</v>
      </c>
      <c r="K324" s="2">
        <v>139387.0</v>
      </c>
      <c r="L324" s="4">
        <v>44986.0</v>
      </c>
      <c r="M324" s="2" t="b">
        <v>0</v>
      </c>
      <c r="Q324" s="4">
        <f>IFERROR(__xludf.DUMMYFUNCTION("IF(ISDATE(O324),O324,L324)"),44986.0)</f>
        <v>44986</v>
      </c>
      <c r="R324" s="2">
        <v>71.0</v>
      </c>
      <c r="T324" s="4">
        <v>44986.0</v>
      </c>
    </row>
    <row r="325">
      <c r="A325" s="2" t="s">
        <v>427</v>
      </c>
      <c r="B325" s="2" t="s">
        <v>284</v>
      </c>
      <c r="C325" s="2" t="s">
        <v>101</v>
      </c>
      <c r="D325" s="2" t="s">
        <v>33</v>
      </c>
      <c r="E325" s="2">
        <v>86.0</v>
      </c>
      <c r="F325" s="3">
        <v>45091.0</v>
      </c>
      <c r="G325" s="2">
        <v>2.8484755E7</v>
      </c>
      <c r="H325" s="2" t="s">
        <v>34</v>
      </c>
      <c r="I325" s="2" t="s">
        <v>21</v>
      </c>
      <c r="J325" s="2">
        <v>91.0</v>
      </c>
      <c r="K325" s="2">
        <v>331218.0</v>
      </c>
      <c r="L325" s="4">
        <v>45078.0</v>
      </c>
      <c r="M325" s="2" t="b">
        <v>0</v>
      </c>
      <c r="Q325" s="4">
        <f>IFERROR(__xludf.DUMMYFUNCTION("IF(ISDATE(O325),O325,L325)"),45078.0)</f>
        <v>45078</v>
      </c>
      <c r="R325" s="2">
        <v>91.0</v>
      </c>
      <c r="T325" s="4">
        <v>45078.0</v>
      </c>
    </row>
    <row r="326">
      <c r="A326" s="2" t="s">
        <v>428</v>
      </c>
      <c r="B326" s="2" t="s">
        <v>104</v>
      </c>
      <c r="C326" s="2" t="s">
        <v>64</v>
      </c>
      <c r="D326" s="2" t="s">
        <v>29</v>
      </c>
      <c r="E326" s="2">
        <v>4354.0</v>
      </c>
      <c r="F326" s="3">
        <v>45892.0</v>
      </c>
      <c r="G326" s="3">
        <v>46062.0</v>
      </c>
      <c r="H326" s="2">
        <v>1.063225094E9</v>
      </c>
      <c r="I326" s="2">
        <v>1.004892955E9</v>
      </c>
      <c r="J326" s="2" t="s">
        <v>20</v>
      </c>
      <c r="K326" s="2" t="s">
        <v>21</v>
      </c>
      <c r="L326" s="2">
        <v>89.0</v>
      </c>
      <c r="M326" s="2">
        <v>170.0</v>
      </c>
      <c r="N326" s="2">
        <v>244195.0</v>
      </c>
      <c r="O326" s="4">
        <v>45870.0</v>
      </c>
      <c r="P326" s="2" t="b">
        <v>1</v>
      </c>
      <c r="Q326" s="4">
        <f>IFERROR(__xludf.DUMMYFUNCTION("IF(ISDATE(O326),O326,L326)"),45870.0)</f>
        <v>45870</v>
      </c>
      <c r="R326" s="2">
        <v>89.0</v>
      </c>
      <c r="T326" s="4">
        <v>45870.0</v>
      </c>
    </row>
    <row r="327">
      <c r="A327" s="2" t="s">
        <v>429</v>
      </c>
      <c r="B327" s="2" t="s">
        <v>165</v>
      </c>
      <c r="C327" s="2" t="s">
        <v>28</v>
      </c>
      <c r="D327" s="2" t="s">
        <v>72</v>
      </c>
      <c r="E327" s="2">
        <v>284.0</v>
      </c>
      <c r="F327" s="3">
        <v>45874.0</v>
      </c>
      <c r="G327" s="2">
        <v>4.84159198E8</v>
      </c>
      <c r="H327" s="2" t="s">
        <v>69</v>
      </c>
      <c r="I327" s="2" t="s">
        <v>30</v>
      </c>
      <c r="J327" s="2">
        <v>65.0</v>
      </c>
      <c r="K327" s="2">
        <v>1704786.0</v>
      </c>
      <c r="L327" s="4">
        <v>45870.0</v>
      </c>
      <c r="M327" s="2" t="b">
        <v>0</v>
      </c>
      <c r="Q327" s="4">
        <f>IFERROR(__xludf.DUMMYFUNCTION("IF(ISDATE(O327),O327,L327)"),45870.0)</f>
        <v>45870</v>
      </c>
      <c r="R327" s="2">
        <v>65.0</v>
      </c>
      <c r="T327" s="4">
        <v>45870.0</v>
      </c>
    </row>
    <row r="328">
      <c r="A328" s="2" t="s">
        <v>430</v>
      </c>
      <c r="B328" s="2" t="s">
        <v>66</v>
      </c>
      <c r="C328" s="2" t="s">
        <v>28</v>
      </c>
      <c r="D328" s="2" t="s">
        <v>49</v>
      </c>
      <c r="E328" s="2">
        <v>196.0</v>
      </c>
      <c r="F328" s="3">
        <v>45084.0</v>
      </c>
      <c r="G328" s="3">
        <v>45099.0</v>
      </c>
      <c r="H328" s="2">
        <v>2.38147925E8</v>
      </c>
      <c r="I328" s="2">
        <v>2.30319505E8</v>
      </c>
      <c r="J328" s="2" t="s">
        <v>20</v>
      </c>
      <c r="K328" s="2" t="s">
        <v>25</v>
      </c>
      <c r="L328" s="2">
        <v>127.0</v>
      </c>
      <c r="M328" s="2">
        <v>15.0</v>
      </c>
      <c r="N328" s="2">
        <v>1215040.0</v>
      </c>
      <c r="O328" s="4">
        <v>45078.0</v>
      </c>
      <c r="P328" s="2" t="b">
        <v>1</v>
      </c>
      <c r="Q328" s="4">
        <f>IFERROR(__xludf.DUMMYFUNCTION("IF(ISDATE(O328),O328,L328)"),45078.0)</f>
        <v>45078</v>
      </c>
      <c r="R328" s="2">
        <v>127.0</v>
      </c>
      <c r="T328" s="4">
        <v>45078.0</v>
      </c>
    </row>
    <row r="329">
      <c r="A329" s="2" t="s">
        <v>431</v>
      </c>
      <c r="B329" s="2" t="s">
        <v>71</v>
      </c>
      <c r="C329" s="2" t="s">
        <v>28</v>
      </c>
      <c r="D329" s="2" t="s">
        <v>19</v>
      </c>
      <c r="E329" s="2">
        <v>46.0</v>
      </c>
      <c r="F329" s="3">
        <v>45225.0</v>
      </c>
      <c r="G329" s="2">
        <v>3.9466816E7</v>
      </c>
      <c r="H329" s="2" t="s">
        <v>69</v>
      </c>
      <c r="I329" s="2" t="s">
        <v>30</v>
      </c>
      <c r="J329" s="2">
        <v>106.0</v>
      </c>
      <c r="K329" s="2">
        <v>857974.0</v>
      </c>
      <c r="L329" s="6">
        <v>45200.0</v>
      </c>
      <c r="M329" s="2" t="b">
        <v>0</v>
      </c>
      <c r="Q329" s="6">
        <f>IFERROR(__xludf.DUMMYFUNCTION("IF(ISDATE(O329),O329,L329)"),45200.0)</f>
        <v>45200</v>
      </c>
      <c r="R329" s="2">
        <v>106.0</v>
      </c>
      <c r="T329" s="6">
        <v>45200.0</v>
      </c>
    </row>
    <row r="330">
      <c r="A330" s="2" t="s">
        <v>432</v>
      </c>
      <c r="B330" s="2" t="s">
        <v>66</v>
      </c>
      <c r="C330" s="2" t="s">
        <v>64</v>
      </c>
      <c r="D330" s="2" t="s">
        <v>37</v>
      </c>
      <c r="E330" s="2">
        <v>346.0</v>
      </c>
      <c r="F330" s="3">
        <v>45116.0</v>
      </c>
      <c r="G330" s="3">
        <v>45228.0</v>
      </c>
      <c r="H330" s="2">
        <v>3.41772938E8</v>
      </c>
      <c r="I330" s="2">
        <v>3.3880773E8</v>
      </c>
      <c r="J330" s="2" t="s">
        <v>20</v>
      </c>
      <c r="K330" s="2" t="s">
        <v>30</v>
      </c>
      <c r="L330" s="2">
        <v>117.0</v>
      </c>
      <c r="M330" s="2">
        <v>112.0</v>
      </c>
      <c r="N330" s="2">
        <v>987783.0</v>
      </c>
      <c r="O330" s="4">
        <v>45108.0</v>
      </c>
      <c r="P330" s="2" t="b">
        <v>1</v>
      </c>
      <c r="Q330" s="4">
        <f>IFERROR(__xludf.DUMMYFUNCTION("IF(ISDATE(O330),O330,L330)"),45108.0)</f>
        <v>45108</v>
      </c>
      <c r="R330" s="2">
        <v>117.0</v>
      </c>
      <c r="T330" s="4">
        <v>45108.0</v>
      </c>
    </row>
    <row r="331">
      <c r="A331" s="2" t="s">
        <v>433</v>
      </c>
      <c r="B331" s="2" t="s">
        <v>204</v>
      </c>
      <c r="C331" s="2" t="s">
        <v>64</v>
      </c>
      <c r="D331" s="2" t="s">
        <v>72</v>
      </c>
      <c r="E331" s="2">
        <v>248.0</v>
      </c>
      <c r="F331" s="3">
        <v>45081.0</v>
      </c>
      <c r="G331" s="2">
        <v>1.78518249E8</v>
      </c>
      <c r="H331" s="2" t="s">
        <v>34</v>
      </c>
      <c r="I331" s="2" t="s">
        <v>30</v>
      </c>
      <c r="J331" s="2">
        <v>143.0</v>
      </c>
      <c r="K331" s="2">
        <v>719832.0</v>
      </c>
      <c r="L331" s="4">
        <v>45078.0</v>
      </c>
      <c r="M331" s="2" t="b">
        <v>0</v>
      </c>
      <c r="Q331" s="4">
        <f>IFERROR(__xludf.DUMMYFUNCTION("IF(ISDATE(O331),O331,L331)"),45078.0)</f>
        <v>45078</v>
      </c>
      <c r="R331" s="2">
        <v>143.0</v>
      </c>
      <c r="T331" s="4">
        <v>45078.0</v>
      </c>
    </row>
    <row r="332">
      <c r="A332" s="2" t="s">
        <v>434</v>
      </c>
      <c r="B332" s="2" t="s">
        <v>60</v>
      </c>
      <c r="C332" s="2" t="s">
        <v>24</v>
      </c>
      <c r="D332" s="2" t="s">
        <v>29</v>
      </c>
      <c r="E332" s="2">
        <v>2263.0</v>
      </c>
      <c r="F332" s="3">
        <v>45787.0</v>
      </c>
      <c r="G332" s="3">
        <v>45935.0</v>
      </c>
      <c r="H332" s="2">
        <v>6.73480008E8</v>
      </c>
      <c r="I332" s="2">
        <v>6.77306927E8</v>
      </c>
      <c r="J332" s="2" t="s">
        <v>20</v>
      </c>
      <c r="K332" s="2" t="s">
        <v>73</v>
      </c>
      <c r="L332" s="2">
        <v>151.0</v>
      </c>
      <c r="M332" s="2">
        <v>148.0</v>
      </c>
      <c r="N332" s="2">
        <v>297605.0</v>
      </c>
      <c r="O332" s="4">
        <v>45778.0</v>
      </c>
      <c r="P332" s="2" t="b">
        <v>1</v>
      </c>
      <c r="Q332" s="4">
        <f>IFERROR(__xludf.DUMMYFUNCTION("IF(ISDATE(O332),O332,L332)"),45778.0)</f>
        <v>45778</v>
      </c>
      <c r="R332" s="2">
        <v>151.0</v>
      </c>
      <c r="T332" s="4">
        <v>45778.0</v>
      </c>
    </row>
    <row r="333">
      <c r="A333" s="2" t="s">
        <v>435</v>
      </c>
      <c r="B333" s="2" t="s">
        <v>178</v>
      </c>
      <c r="C333" s="2" t="s">
        <v>40</v>
      </c>
      <c r="D333" s="2" t="s">
        <v>81</v>
      </c>
      <c r="E333" s="2">
        <v>2848.0</v>
      </c>
      <c r="F333" s="3">
        <v>45851.0</v>
      </c>
      <c r="G333" s="2">
        <v>4.48919099E8</v>
      </c>
      <c r="H333" s="2" t="s">
        <v>41</v>
      </c>
      <c r="I333" s="2" t="s">
        <v>25</v>
      </c>
      <c r="J333" s="2">
        <v>151.0</v>
      </c>
      <c r="K333" s="2">
        <v>157626.0</v>
      </c>
      <c r="L333" s="4">
        <v>45839.0</v>
      </c>
      <c r="M333" s="2" t="b">
        <v>0</v>
      </c>
      <c r="Q333" s="4">
        <f>IFERROR(__xludf.DUMMYFUNCTION("IF(ISDATE(O333),O333,L333)"),45839.0)</f>
        <v>45839</v>
      </c>
      <c r="R333" s="2">
        <v>151.0</v>
      </c>
      <c r="T333" s="4">
        <v>45839.0</v>
      </c>
    </row>
    <row r="334">
      <c r="A334" s="2" t="s">
        <v>436</v>
      </c>
      <c r="B334" s="2" t="s">
        <v>178</v>
      </c>
      <c r="C334" s="2" t="s">
        <v>18</v>
      </c>
      <c r="D334" s="2" t="s">
        <v>29</v>
      </c>
      <c r="E334" s="2">
        <v>1607.0</v>
      </c>
      <c r="F334" s="3">
        <v>45104.0</v>
      </c>
      <c r="G334" s="2">
        <v>2.50848055E8</v>
      </c>
      <c r="H334" s="2" t="s">
        <v>41</v>
      </c>
      <c r="I334" s="2" t="s">
        <v>42</v>
      </c>
      <c r="J334" s="2">
        <v>37.0</v>
      </c>
      <c r="K334" s="2">
        <v>156097.0</v>
      </c>
      <c r="L334" s="4">
        <v>45078.0</v>
      </c>
      <c r="M334" s="2" t="b">
        <v>0</v>
      </c>
      <c r="Q334" s="4">
        <f>IFERROR(__xludf.DUMMYFUNCTION("IF(ISDATE(O334),O334,L334)"),45078.0)</f>
        <v>45078</v>
      </c>
      <c r="R334" s="2">
        <v>37.0</v>
      </c>
      <c r="T334" s="4">
        <v>45078.0</v>
      </c>
    </row>
    <row r="335">
      <c r="A335" s="2" t="s">
        <v>437</v>
      </c>
      <c r="B335" s="2" t="s">
        <v>323</v>
      </c>
      <c r="C335" s="2" t="s">
        <v>28</v>
      </c>
      <c r="D335" s="2" t="s">
        <v>33</v>
      </c>
      <c r="E335" s="2">
        <v>108.0</v>
      </c>
      <c r="F335" s="3">
        <v>45769.0</v>
      </c>
      <c r="G335" s="3">
        <v>45936.0</v>
      </c>
      <c r="H335" s="2">
        <v>8.7499587E7</v>
      </c>
      <c r="I335" s="2">
        <v>9.3250822E7</v>
      </c>
      <c r="J335" s="2" t="s">
        <v>20</v>
      </c>
      <c r="K335" s="2" t="s">
        <v>21</v>
      </c>
      <c r="L335" s="2">
        <v>27.0</v>
      </c>
      <c r="M335" s="2">
        <v>167.0</v>
      </c>
      <c r="N335" s="2">
        <v>810181.0</v>
      </c>
      <c r="O335" s="4">
        <v>45748.0</v>
      </c>
      <c r="P335" s="2" t="b">
        <v>1</v>
      </c>
      <c r="Q335" s="4">
        <f>IFERROR(__xludf.DUMMYFUNCTION("IF(ISDATE(O335),O335,L335)"),45748.0)</f>
        <v>45748</v>
      </c>
      <c r="R335" s="2">
        <v>27.0</v>
      </c>
      <c r="T335" s="4">
        <v>45748.0</v>
      </c>
    </row>
    <row r="336">
      <c r="A336" s="2" t="s">
        <v>438</v>
      </c>
      <c r="B336" s="2" t="s">
        <v>106</v>
      </c>
      <c r="C336" s="2" t="s">
        <v>24</v>
      </c>
      <c r="D336" s="2" t="s">
        <v>49</v>
      </c>
      <c r="E336" s="2">
        <v>191.0</v>
      </c>
      <c r="F336" s="3">
        <v>45459.0</v>
      </c>
      <c r="G336" s="3">
        <v>45477.0</v>
      </c>
      <c r="H336" s="2">
        <v>2.02422646E8</v>
      </c>
      <c r="I336" s="2">
        <v>2.06408199E8</v>
      </c>
      <c r="J336" s="2" t="s">
        <v>20</v>
      </c>
      <c r="K336" s="2" t="s">
        <v>25</v>
      </c>
      <c r="L336" s="2">
        <v>112.0</v>
      </c>
      <c r="M336" s="2">
        <v>18.0</v>
      </c>
      <c r="N336" s="2">
        <v>1059804.0</v>
      </c>
      <c r="O336" s="4">
        <v>45444.0</v>
      </c>
      <c r="P336" s="2" t="b">
        <v>1</v>
      </c>
      <c r="Q336" s="4">
        <f>IFERROR(__xludf.DUMMYFUNCTION("IF(ISDATE(O336),O336,L336)"),45444.0)</f>
        <v>45444</v>
      </c>
      <c r="R336" s="2">
        <v>112.0</v>
      </c>
      <c r="T336" s="4">
        <v>45444.0</v>
      </c>
    </row>
    <row r="337">
      <c r="A337" s="2" t="s">
        <v>439</v>
      </c>
      <c r="B337" s="2" t="s">
        <v>109</v>
      </c>
      <c r="C337" s="2" t="s">
        <v>28</v>
      </c>
      <c r="D337" s="2" t="s">
        <v>102</v>
      </c>
      <c r="E337" s="2">
        <v>118.0</v>
      </c>
      <c r="F337" s="3">
        <v>45523.0</v>
      </c>
      <c r="G337" s="2">
        <v>1.52953897E8</v>
      </c>
      <c r="H337" s="2" t="s">
        <v>41</v>
      </c>
      <c r="I337" s="2" t="s">
        <v>25</v>
      </c>
      <c r="J337" s="2">
        <v>30.0</v>
      </c>
      <c r="K337" s="2">
        <v>1296219.0</v>
      </c>
      <c r="L337" s="4">
        <v>45505.0</v>
      </c>
      <c r="M337" s="2" t="b">
        <v>0</v>
      </c>
      <c r="Q337" s="4">
        <f>IFERROR(__xludf.DUMMYFUNCTION("IF(ISDATE(O337),O337,L337)"),45505.0)</f>
        <v>45505</v>
      </c>
      <c r="R337" s="2">
        <v>30.0</v>
      </c>
      <c r="T337" s="4">
        <v>45505.0</v>
      </c>
    </row>
    <row r="338">
      <c r="A338" s="2" t="s">
        <v>440</v>
      </c>
      <c r="B338" s="2" t="s">
        <v>123</v>
      </c>
      <c r="C338" s="2" t="s">
        <v>57</v>
      </c>
      <c r="D338" s="2" t="s">
        <v>58</v>
      </c>
      <c r="E338" s="2">
        <v>275.0</v>
      </c>
      <c r="F338" s="3">
        <v>45197.0</v>
      </c>
      <c r="G338" s="3">
        <v>45336.0</v>
      </c>
      <c r="H338" s="2">
        <v>1.04428739E8</v>
      </c>
      <c r="I338" s="2">
        <v>1.03978385E8</v>
      </c>
      <c r="J338" s="2" t="s">
        <v>20</v>
      </c>
      <c r="K338" s="2" t="s">
        <v>42</v>
      </c>
      <c r="L338" s="2">
        <v>75.0</v>
      </c>
      <c r="M338" s="2">
        <v>139.0</v>
      </c>
      <c r="N338" s="2">
        <v>379741.0</v>
      </c>
      <c r="O338" s="4">
        <v>45170.0</v>
      </c>
      <c r="P338" s="2" t="b">
        <v>1</v>
      </c>
      <c r="Q338" s="4">
        <f>IFERROR(__xludf.DUMMYFUNCTION("IF(ISDATE(O338),O338,L338)"),45170.0)</f>
        <v>45170</v>
      </c>
      <c r="R338" s="2">
        <v>75.0</v>
      </c>
      <c r="T338" s="4">
        <v>45170.0</v>
      </c>
    </row>
    <row r="339">
      <c r="A339" s="2" t="s">
        <v>441</v>
      </c>
      <c r="B339" s="2" t="s">
        <v>104</v>
      </c>
      <c r="C339" s="2" t="s">
        <v>24</v>
      </c>
      <c r="D339" s="2" t="s">
        <v>29</v>
      </c>
      <c r="E339" s="2">
        <v>3690.0</v>
      </c>
      <c r="F339" s="3">
        <v>45837.0</v>
      </c>
      <c r="G339" s="2">
        <v>1.019996358E9</v>
      </c>
      <c r="H339" s="2" t="s">
        <v>34</v>
      </c>
      <c r="I339" s="2" t="s">
        <v>73</v>
      </c>
      <c r="J339" s="2">
        <v>73.0</v>
      </c>
      <c r="K339" s="2">
        <v>276422.0</v>
      </c>
      <c r="L339" s="4">
        <v>45809.0</v>
      </c>
      <c r="M339" s="2" t="b">
        <v>0</v>
      </c>
      <c r="Q339" s="4">
        <f>IFERROR(__xludf.DUMMYFUNCTION("IF(ISDATE(O339),O339,L339)"),45809.0)</f>
        <v>45809</v>
      </c>
      <c r="R339" s="2">
        <v>73.0</v>
      </c>
      <c r="T339" s="4">
        <v>45809.0</v>
      </c>
    </row>
    <row r="340">
      <c r="A340" s="2" t="s">
        <v>442</v>
      </c>
      <c r="B340" s="2" t="s">
        <v>256</v>
      </c>
      <c r="C340" s="2" t="s">
        <v>40</v>
      </c>
      <c r="D340" s="2" t="s">
        <v>19</v>
      </c>
      <c r="E340" s="2">
        <v>50.0</v>
      </c>
      <c r="F340" s="3">
        <v>45214.0</v>
      </c>
      <c r="G340" s="2">
        <v>1.1941871E7</v>
      </c>
      <c r="H340" s="2" t="s">
        <v>34</v>
      </c>
      <c r="I340" s="2" t="s">
        <v>42</v>
      </c>
      <c r="J340" s="2">
        <v>39.0</v>
      </c>
      <c r="K340" s="2">
        <v>238837.0</v>
      </c>
      <c r="L340" s="6">
        <v>45200.0</v>
      </c>
      <c r="M340" s="2" t="b">
        <v>0</v>
      </c>
      <c r="Q340" s="6">
        <f>IFERROR(__xludf.DUMMYFUNCTION("IF(ISDATE(O340),O340,L340)"),45200.0)</f>
        <v>45200</v>
      </c>
      <c r="R340" s="2">
        <v>39.0</v>
      </c>
      <c r="T340" s="6">
        <v>45200.0</v>
      </c>
    </row>
    <row r="341">
      <c r="A341" s="2" t="s">
        <v>443</v>
      </c>
      <c r="B341" s="2" t="s">
        <v>220</v>
      </c>
      <c r="C341" s="2" t="s">
        <v>24</v>
      </c>
      <c r="D341" s="2" t="s">
        <v>81</v>
      </c>
      <c r="E341" s="2">
        <v>3028.0</v>
      </c>
      <c r="F341" s="3">
        <v>45353.0</v>
      </c>
      <c r="G341" s="3">
        <v>45390.0</v>
      </c>
      <c r="H341" s="2">
        <v>1.092556806E9</v>
      </c>
      <c r="I341" s="2">
        <v>1.042105242E9</v>
      </c>
      <c r="J341" s="2" t="s">
        <v>20</v>
      </c>
      <c r="K341" s="2" t="s">
        <v>73</v>
      </c>
      <c r="L341" s="2">
        <v>129.0</v>
      </c>
      <c r="M341" s="2">
        <v>37.0</v>
      </c>
      <c r="N341" s="2">
        <v>360818.0</v>
      </c>
      <c r="O341" s="4">
        <v>45352.0</v>
      </c>
      <c r="P341" s="2" t="b">
        <v>1</v>
      </c>
      <c r="Q341" s="4">
        <f>IFERROR(__xludf.DUMMYFUNCTION("IF(ISDATE(O341),O341,L341)"),45352.0)</f>
        <v>45352</v>
      </c>
      <c r="R341" s="2">
        <v>129.0</v>
      </c>
      <c r="T341" s="4">
        <v>45352.0</v>
      </c>
    </row>
    <row r="342">
      <c r="A342" s="2" t="s">
        <v>444</v>
      </c>
      <c r="B342" s="2" t="s">
        <v>84</v>
      </c>
      <c r="C342" s="2" t="s">
        <v>57</v>
      </c>
      <c r="D342" s="2" t="s">
        <v>67</v>
      </c>
      <c r="E342" s="2">
        <v>26.0</v>
      </c>
      <c r="F342" s="3">
        <v>44994.0</v>
      </c>
      <c r="G342" s="3">
        <v>45138.0</v>
      </c>
      <c r="H342" s="2">
        <v>5890126.0</v>
      </c>
      <c r="I342" s="2">
        <v>6154490.0</v>
      </c>
      <c r="J342" s="2" t="s">
        <v>20</v>
      </c>
      <c r="K342" s="2" t="s">
        <v>25</v>
      </c>
      <c r="L342" s="2">
        <v>150.0</v>
      </c>
      <c r="M342" s="2">
        <v>144.0</v>
      </c>
      <c r="N342" s="2">
        <v>226543.0</v>
      </c>
      <c r="O342" s="4">
        <v>44986.0</v>
      </c>
      <c r="P342" s="2" t="b">
        <v>1</v>
      </c>
      <c r="Q342" s="4">
        <f>IFERROR(__xludf.DUMMYFUNCTION("IF(ISDATE(O342),O342,L342)"),44986.0)</f>
        <v>44986</v>
      </c>
      <c r="R342" s="2">
        <v>150.0</v>
      </c>
      <c r="T342" s="4">
        <v>44986.0</v>
      </c>
    </row>
    <row r="343">
      <c r="A343" s="2" t="s">
        <v>445</v>
      </c>
      <c r="B343" s="2" t="s">
        <v>27</v>
      </c>
      <c r="C343" s="2" t="s">
        <v>28</v>
      </c>
      <c r="D343" s="2" t="s">
        <v>72</v>
      </c>
      <c r="E343" s="2">
        <v>231.0</v>
      </c>
      <c r="F343" s="3">
        <v>44960.0</v>
      </c>
      <c r="G343" s="3">
        <v>45067.0</v>
      </c>
      <c r="H343" s="2">
        <v>4.0003101E8</v>
      </c>
      <c r="I343" s="2">
        <v>3.85564448E8</v>
      </c>
      <c r="J343" s="2" t="s">
        <v>20</v>
      </c>
      <c r="K343" s="2" t="s">
        <v>73</v>
      </c>
      <c r="L343" s="2">
        <v>134.0</v>
      </c>
      <c r="M343" s="2">
        <v>107.0</v>
      </c>
      <c r="N343" s="2">
        <v>1731736.0</v>
      </c>
      <c r="O343" s="4">
        <v>44958.0</v>
      </c>
      <c r="P343" s="2" t="b">
        <v>1</v>
      </c>
      <c r="Q343" s="4">
        <f>IFERROR(__xludf.DUMMYFUNCTION("IF(ISDATE(O343),O343,L343)"),44958.0)</f>
        <v>44958</v>
      </c>
      <c r="R343" s="2">
        <v>134.0</v>
      </c>
      <c r="T343" s="4">
        <v>44958.0</v>
      </c>
    </row>
    <row r="344">
      <c r="A344" s="2" t="s">
        <v>446</v>
      </c>
      <c r="B344" s="2" t="s">
        <v>27</v>
      </c>
      <c r="C344" s="2" t="s">
        <v>24</v>
      </c>
      <c r="D344" s="2" t="s">
        <v>33</v>
      </c>
      <c r="E344" s="2">
        <v>108.0</v>
      </c>
      <c r="F344" s="3">
        <v>45308.0</v>
      </c>
      <c r="G344" s="3">
        <v>45437.0</v>
      </c>
      <c r="H344" s="2">
        <v>6.465655E7</v>
      </c>
      <c r="I344" s="2">
        <v>6.8489191E7</v>
      </c>
      <c r="J344" s="2" t="s">
        <v>20</v>
      </c>
      <c r="K344" s="2" t="s">
        <v>25</v>
      </c>
      <c r="L344" s="2">
        <v>146.0</v>
      </c>
      <c r="M344" s="2">
        <v>129.0</v>
      </c>
      <c r="N344" s="2">
        <v>598672.0</v>
      </c>
      <c r="O344" s="4">
        <v>45292.0</v>
      </c>
      <c r="P344" s="2" t="b">
        <v>1</v>
      </c>
      <c r="Q344" s="4">
        <f>IFERROR(__xludf.DUMMYFUNCTION("IF(ISDATE(O344),O344,L344)"),45292.0)</f>
        <v>45292</v>
      </c>
      <c r="R344" s="2">
        <v>146.0</v>
      </c>
      <c r="T344" s="4">
        <v>45292.0</v>
      </c>
    </row>
    <row r="345">
      <c r="A345" s="2" t="s">
        <v>447</v>
      </c>
      <c r="B345" s="2" t="s">
        <v>99</v>
      </c>
      <c r="C345" s="2" t="s">
        <v>24</v>
      </c>
      <c r="D345" s="2" t="s">
        <v>102</v>
      </c>
      <c r="E345" s="2">
        <v>133.0</v>
      </c>
      <c r="F345" s="3">
        <v>44955.0</v>
      </c>
      <c r="G345" s="3">
        <v>45011.0</v>
      </c>
      <c r="H345" s="2">
        <v>1.28759551E8</v>
      </c>
      <c r="I345" s="2">
        <v>1.34524479E8</v>
      </c>
      <c r="J345" s="2" t="s">
        <v>20</v>
      </c>
      <c r="K345" s="2" t="s">
        <v>42</v>
      </c>
      <c r="L345" s="2">
        <v>61.0</v>
      </c>
      <c r="M345" s="2">
        <v>56.0</v>
      </c>
      <c r="N345" s="2">
        <v>968117.0</v>
      </c>
      <c r="O345" s="4">
        <v>44927.0</v>
      </c>
      <c r="P345" s="2" t="b">
        <v>1</v>
      </c>
      <c r="Q345" s="4">
        <f>IFERROR(__xludf.DUMMYFUNCTION("IF(ISDATE(O345),O345,L345)"),44927.0)</f>
        <v>44927</v>
      </c>
      <c r="R345" s="2">
        <v>61.0</v>
      </c>
      <c r="T345" s="4">
        <v>44927.0</v>
      </c>
    </row>
    <row r="346">
      <c r="A346" s="2" t="s">
        <v>448</v>
      </c>
      <c r="B346" s="2" t="s">
        <v>52</v>
      </c>
      <c r="C346" s="2" t="s">
        <v>18</v>
      </c>
      <c r="D346" s="2" t="s">
        <v>72</v>
      </c>
      <c r="E346" s="2">
        <v>248.0</v>
      </c>
      <c r="F346" s="3">
        <v>44947.0</v>
      </c>
      <c r="G346" s="2">
        <v>1.0668807E8</v>
      </c>
      <c r="H346" s="2" t="s">
        <v>34</v>
      </c>
      <c r="I346" s="2" t="s">
        <v>42</v>
      </c>
      <c r="J346" s="2">
        <v>170.0</v>
      </c>
      <c r="K346" s="2">
        <v>430194.0</v>
      </c>
      <c r="L346" s="4">
        <v>44927.0</v>
      </c>
      <c r="M346" s="2" t="b">
        <v>0</v>
      </c>
      <c r="Q346" s="4">
        <f>IFERROR(__xludf.DUMMYFUNCTION("IF(ISDATE(O346),O346,L346)"),44927.0)</f>
        <v>44927</v>
      </c>
      <c r="R346" s="2">
        <v>170.0</v>
      </c>
      <c r="T346" s="4">
        <v>44927.0</v>
      </c>
    </row>
    <row r="347">
      <c r="A347" s="2" t="s">
        <v>449</v>
      </c>
      <c r="B347" s="2" t="s">
        <v>63</v>
      </c>
      <c r="C347" s="2" t="s">
        <v>28</v>
      </c>
      <c r="D347" s="2" t="s">
        <v>19</v>
      </c>
      <c r="E347" s="2">
        <v>47.0</v>
      </c>
      <c r="F347" s="3">
        <v>45751.0</v>
      </c>
      <c r="G347" s="2">
        <v>4.1998968E7</v>
      </c>
      <c r="H347" s="2" t="s">
        <v>34</v>
      </c>
      <c r="I347" s="2" t="s">
        <v>30</v>
      </c>
      <c r="J347" s="2">
        <v>113.0</v>
      </c>
      <c r="K347" s="2">
        <v>893595.0</v>
      </c>
      <c r="L347" s="4">
        <v>45748.0</v>
      </c>
      <c r="M347" s="2" t="b">
        <v>0</v>
      </c>
      <c r="Q347" s="4">
        <f>IFERROR(__xludf.DUMMYFUNCTION("IF(ISDATE(O347),O347,L347)"),45748.0)</f>
        <v>45748</v>
      </c>
      <c r="R347" s="2">
        <v>113.0</v>
      </c>
      <c r="T347" s="4">
        <v>45748.0</v>
      </c>
    </row>
    <row r="348">
      <c r="A348" s="2" t="s">
        <v>450</v>
      </c>
      <c r="B348" s="2" t="s">
        <v>17</v>
      </c>
      <c r="C348" s="2" t="s">
        <v>40</v>
      </c>
      <c r="D348" s="2" t="s">
        <v>67</v>
      </c>
      <c r="E348" s="2">
        <v>39.0</v>
      </c>
      <c r="F348" s="3">
        <v>45404.0</v>
      </c>
      <c r="G348" s="3">
        <v>45552.0</v>
      </c>
      <c r="H348" s="2">
        <v>8051618.0</v>
      </c>
      <c r="I348" s="2">
        <v>7919123.0</v>
      </c>
      <c r="J348" s="2" t="s">
        <v>20</v>
      </c>
      <c r="K348" s="2" t="s">
        <v>21</v>
      </c>
      <c r="L348" s="2">
        <v>6.0</v>
      </c>
      <c r="M348" s="2">
        <v>148.0</v>
      </c>
      <c r="N348" s="2">
        <v>206452.0</v>
      </c>
      <c r="O348" s="4">
        <v>45383.0</v>
      </c>
      <c r="P348" s="2" t="b">
        <v>1</v>
      </c>
      <c r="Q348" s="4">
        <f>IFERROR(__xludf.DUMMYFUNCTION("IF(ISDATE(O348),O348,L348)"),45383.0)</f>
        <v>45383</v>
      </c>
      <c r="R348" s="2">
        <v>6.0</v>
      </c>
      <c r="T348" s="4">
        <v>45383.0</v>
      </c>
    </row>
    <row r="349">
      <c r="A349" s="2" t="s">
        <v>451</v>
      </c>
      <c r="B349" s="2" t="s">
        <v>109</v>
      </c>
      <c r="C349" s="2" t="s">
        <v>64</v>
      </c>
      <c r="D349" s="2" t="s">
        <v>67</v>
      </c>
      <c r="E349" s="2">
        <v>42.0</v>
      </c>
      <c r="F349" s="3">
        <v>45216.0</v>
      </c>
      <c r="G349" s="3">
        <v>45258.0</v>
      </c>
      <c r="H349" s="2">
        <v>1.3794859E7</v>
      </c>
      <c r="I349" s="2">
        <v>1.3433507E7</v>
      </c>
      <c r="J349" s="2" t="s">
        <v>20</v>
      </c>
      <c r="K349" s="2" t="s">
        <v>30</v>
      </c>
      <c r="L349" s="2">
        <v>168.0</v>
      </c>
      <c r="M349" s="2">
        <v>42.0</v>
      </c>
      <c r="N349" s="2">
        <v>328449.0</v>
      </c>
      <c r="O349" s="6">
        <v>45200.0</v>
      </c>
      <c r="P349" s="2" t="b">
        <v>1</v>
      </c>
      <c r="Q349" s="6">
        <f>IFERROR(__xludf.DUMMYFUNCTION("IF(ISDATE(O349),O349,L349)"),45200.0)</f>
        <v>45200</v>
      </c>
      <c r="R349" s="2">
        <v>168.0</v>
      </c>
      <c r="T349" s="6">
        <v>45200.0</v>
      </c>
    </row>
    <row r="350">
      <c r="A350" s="2" t="s">
        <v>452</v>
      </c>
      <c r="B350" s="2" t="s">
        <v>17</v>
      </c>
      <c r="C350" s="2" t="s">
        <v>24</v>
      </c>
      <c r="D350" s="2" t="s">
        <v>37</v>
      </c>
      <c r="E350" s="2">
        <v>433.0</v>
      </c>
      <c r="F350" s="3">
        <v>45080.0</v>
      </c>
      <c r="G350" s="3">
        <v>45156.0</v>
      </c>
      <c r="H350" s="2">
        <v>7.49142388E8</v>
      </c>
      <c r="I350" s="2">
        <v>7.85752056E8</v>
      </c>
      <c r="J350" s="2" t="s">
        <v>20</v>
      </c>
      <c r="K350" s="2" t="s">
        <v>25</v>
      </c>
      <c r="L350" s="2">
        <v>108.0</v>
      </c>
      <c r="M350" s="2">
        <v>76.0</v>
      </c>
      <c r="N350" s="2">
        <v>1730121.0</v>
      </c>
      <c r="O350" s="4">
        <v>45078.0</v>
      </c>
      <c r="P350" s="2" t="b">
        <v>1</v>
      </c>
      <c r="Q350" s="4">
        <f>IFERROR(__xludf.DUMMYFUNCTION("IF(ISDATE(O350),O350,L350)"),45078.0)</f>
        <v>45078</v>
      </c>
      <c r="R350" s="2">
        <v>108.0</v>
      </c>
      <c r="T350" s="4">
        <v>45078.0</v>
      </c>
    </row>
    <row r="351">
      <c r="A351" s="2" t="s">
        <v>453</v>
      </c>
      <c r="B351" s="2" t="s">
        <v>95</v>
      </c>
      <c r="C351" s="2" t="s">
        <v>18</v>
      </c>
      <c r="D351" s="2" t="s">
        <v>102</v>
      </c>
      <c r="E351" s="2">
        <v>103.0</v>
      </c>
      <c r="F351" s="3">
        <v>45192.0</v>
      </c>
      <c r="G351" s="2">
        <v>3.6241424E7</v>
      </c>
      <c r="H351" s="2" t="s">
        <v>69</v>
      </c>
      <c r="I351" s="2" t="s">
        <v>21</v>
      </c>
      <c r="J351" s="2">
        <v>154.0</v>
      </c>
      <c r="K351" s="2">
        <v>351858.0</v>
      </c>
      <c r="L351" s="4">
        <v>45170.0</v>
      </c>
      <c r="M351" s="2" t="b">
        <v>0</v>
      </c>
      <c r="Q351" s="4">
        <f>IFERROR(__xludf.DUMMYFUNCTION("IF(ISDATE(O351),O351,L351)"),45170.0)</f>
        <v>45170</v>
      </c>
      <c r="R351" s="2">
        <v>154.0</v>
      </c>
      <c r="T351" s="4">
        <v>45170.0</v>
      </c>
    </row>
    <row r="352">
      <c r="A352" s="2" t="s">
        <v>454</v>
      </c>
      <c r="B352" s="2" t="s">
        <v>142</v>
      </c>
      <c r="C352" s="2" t="s">
        <v>18</v>
      </c>
      <c r="D352" s="2" t="s">
        <v>29</v>
      </c>
      <c r="E352" s="2">
        <v>1955.0</v>
      </c>
      <c r="F352" s="3">
        <v>45657.0</v>
      </c>
      <c r="G352" s="3">
        <v>45808.0</v>
      </c>
      <c r="H352" s="2">
        <v>2.72274814E8</v>
      </c>
      <c r="I352" s="2">
        <v>2.71217743E8</v>
      </c>
      <c r="J352" s="2" t="s">
        <v>20</v>
      </c>
      <c r="K352" s="2" t="s">
        <v>30</v>
      </c>
      <c r="L352" s="2">
        <v>134.0</v>
      </c>
      <c r="M352" s="2">
        <v>151.0</v>
      </c>
      <c r="N352" s="2">
        <v>139271.0</v>
      </c>
      <c r="O352" s="6">
        <v>45627.0</v>
      </c>
      <c r="P352" s="2" t="b">
        <v>1</v>
      </c>
      <c r="Q352" s="6">
        <f>IFERROR(__xludf.DUMMYFUNCTION("IF(ISDATE(O352),O352,L352)"),45627.0)</f>
        <v>45627</v>
      </c>
      <c r="R352" s="2">
        <v>134.0</v>
      </c>
      <c r="T352" s="6">
        <v>45627.0</v>
      </c>
    </row>
    <row r="353">
      <c r="A353" s="2" t="s">
        <v>455</v>
      </c>
      <c r="B353" s="2" t="s">
        <v>160</v>
      </c>
      <c r="C353" s="2" t="s">
        <v>24</v>
      </c>
      <c r="D353" s="2" t="s">
        <v>102</v>
      </c>
      <c r="E353" s="2">
        <v>171.0</v>
      </c>
      <c r="F353" s="3">
        <v>45026.0</v>
      </c>
      <c r="G353" s="3">
        <v>45230.0</v>
      </c>
      <c r="H353" s="2">
        <v>1.32471451E8</v>
      </c>
      <c r="I353" s="2">
        <v>1.39006932E8</v>
      </c>
      <c r="J353" s="2" t="s">
        <v>20</v>
      </c>
      <c r="K353" s="2" t="s">
        <v>42</v>
      </c>
      <c r="L353" s="2">
        <v>179.0</v>
      </c>
      <c r="M353" s="2">
        <v>204.0</v>
      </c>
      <c r="N353" s="2">
        <v>774687.0</v>
      </c>
      <c r="O353" s="4">
        <v>45017.0</v>
      </c>
      <c r="P353" s="2" t="b">
        <v>1</v>
      </c>
      <c r="Q353" s="4">
        <f>IFERROR(__xludf.DUMMYFUNCTION("IF(ISDATE(O353),O353,L353)"),45017.0)</f>
        <v>45017</v>
      </c>
      <c r="R353" s="2">
        <v>179.0</v>
      </c>
      <c r="T353" s="4">
        <v>45017.0</v>
      </c>
    </row>
    <row r="354">
      <c r="A354" s="2" t="s">
        <v>456</v>
      </c>
      <c r="B354" s="2" t="s">
        <v>88</v>
      </c>
      <c r="C354" s="2" t="s">
        <v>40</v>
      </c>
      <c r="D354" s="2" t="s">
        <v>33</v>
      </c>
      <c r="E354" s="2">
        <v>79.0</v>
      </c>
      <c r="F354" s="3">
        <v>45689.0</v>
      </c>
      <c r="G354" s="2">
        <v>2.3013414E7</v>
      </c>
      <c r="H354" s="2" t="s">
        <v>69</v>
      </c>
      <c r="I354" s="2" t="s">
        <v>30</v>
      </c>
      <c r="J354" s="2">
        <v>100.0</v>
      </c>
      <c r="K354" s="2">
        <v>291309.0</v>
      </c>
      <c r="L354" s="4">
        <v>45689.0</v>
      </c>
      <c r="M354" s="2" t="b">
        <v>0</v>
      </c>
      <c r="Q354" s="4">
        <f>IFERROR(__xludf.DUMMYFUNCTION("IF(ISDATE(O354),O354,L354)"),45689.0)</f>
        <v>45689</v>
      </c>
      <c r="R354" s="2">
        <v>100.0</v>
      </c>
      <c r="T354" s="4">
        <v>45689.0</v>
      </c>
    </row>
    <row r="355">
      <c r="A355" s="2" t="s">
        <v>457</v>
      </c>
      <c r="B355" s="2" t="s">
        <v>178</v>
      </c>
      <c r="C355" s="2" t="s">
        <v>24</v>
      </c>
      <c r="D355" s="2" t="s">
        <v>37</v>
      </c>
      <c r="E355" s="2">
        <v>537.0</v>
      </c>
      <c r="F355" s="3">
        <v>44981.0</v>
      </c>
      <c r="G355" s="2">
        <v>8.30974795E8</v>
      </c>
      <c r="H355" s="2" t="s">
        <v>34</v>
      </c>
      <c r="I355" s="2" t="s">
        <v>25</v>
      </c>
      <c r="J355" s="2">
        <v>23.0</v>
      </c>
      <c r="K355" s="2">
        <v>1547439.0</v>
      </c>
      <c r="L355" s="4">
        <v>44958.0</v>
      </c>
      <c r="M355" s="2" t="b">
        <v>0</v>
      </c>
      <c r="Q355" s="4">
        <f>IFERROR(__xludf.DUMMYFUNCTION("IF(ISDATE(O355),O355,L355)"),44958.0)</f>
        <v>44958</v>
      </c>
      <c r="R355" s="2">
        <v>23.0</v>
      </c>
      <c r="T355" s="4">
        <v>44958.0</v>
      </c>
    </row>
    <row r="356">
      <c r="A356" s="2" t="s">
        <v>458</v>
      </c>
      <c r="B356" s="2" t="s">
        <v>56</v>
      </c>
      <c r="C356" s="2" t="s">
        <v>64</v>
      </c>
      <c r="D356" s="2" t="s">
        <v>72</v>
      </c>
      <c r="E356" s="2">
        <v>308.0</v>
      </c>
      <c r="F356" s="3">
        <v>45317.0</v>
      </c>
      <c r="G356" s="3">
        <v>45437.0</v>
      </c>
      <c r="H356" s="2">
        <v>2.17452952E8</v>
      </c>
      <c r="I356" s="2">
        <v>2.29777829E8</v>
      </c>
      <c r="J356" s="2" t="s">
        <v>20</v>
      </c>
      <c r="K356" s="2" t="s">
        <v>42</v>
      </c>
      <c r="L356" s="2">
        <v>56.0</v>
      </c>
      <c r="M356" s="2">
        <v>120.0</v>
      </c>
      <c r="N356" s="2">
        <v>706016.0</v>
      </c>
      <c r="O356" s="4">
        <v>45292.0</v>
      </c>
      <c r="P356" s="2" t="b">
        <v>1</v>
      </c>
      <c r="Q356" s="4">
        <f>IFERROR(__xludf.DUMMYFUNCTION("IF(ISDATE(O356),O356,L356)"),45292.0)</f>
        <v>45292</v>
      </c>
      <c r="R356" s="2">
        <v>56.0</v>
      </c>
      <c r="T356" s="4">
        <v>45292.0</v>
      </c>
    </row>
    <row r="357">
      <c r="A357" s="2" t="s">
        <v>459</v>
      </c>
      <c r="B357" s="2" t="s">
        <v>160</v>
      </c>
      <c r="C357" s="2" t="s">
        <v>24</v>
      </c>
      <c r="D357" s="2" t="s">
        <v>29</v>
      </c>
      <c r="E357" s="2">
        <v>4148.0</v>
      </c>
      <c r="F357" s="3">
        <v>45810.0</v>
      </c>
      <c r="G357" s="2">
        <v>1.267927285E9</v>
      </c>
      <c r="H357" s="2" t="s">
        <v>41</v>
      </c>
      <c r="I357" s="2" t="s">
        <v>42</v>
      </c>
      <c r="J357" s="2">
        <v>85.0</v>
      </c>
      <c r="K357" s="2">
        <v>305672.0</v>
      </c>
      <c r="L357" s="4">
        <v>45809.0</v>
      </c>
      <c r="M357" s="2" t="b">
        <v>0</v>
      </c>
      <c r="Q357" s="4">
        <f>IFERROR(__xludf.DUMMYFUNCTION("IF(ISDATE(O357),O357,L357)"),45809.0)</f>
        <v>45809</v>
      </c>
      <c r="R357" s="2">
        <v>85.0</v>
      </c>
      <c r="T357" s="4">
        <v>45809.0</v>
      </c>
    </row>
    <row r="358">
      <c r="A358" s="2" t="s">
        <v>460</v>
      </c>
      <c r="B358" s="2" t="s">
        <v>17</v>
      </c>
      <c r="C358" s="2" t="s">
        <v>18</v>
      </c>
      <c r="D358" s="2" t="s">
        <v>19</v>
      </c>
      <c r="E358" s="2">
        <v>54.0</v>
      </c>
      <c r="F358" s="3">
        <v>45706.0</v>
      </c>
      <c r="G358" s="2">
        <v>1.4854257E7</v>
      </c>
      <c r="H358" s="2" t="s">
        <v>34</v>
      </c>
      <c r="I358" s="2" t="s">
        <v>73</v>
      </c>
      <c r="J358" s="2">
        <v>27.0</v>
      </c>
      <c r="K358" s="2">
        <v>275079.0</v>
      </c>
      <c r="L358" s="4">
        <v>45689.0</v>
      </c>
      <c r="M358" s="2" t="b">
        <v>0</v>
      </c>
      <c r="Q358" s="4">
        <f>IFERROR(__xludf.DUMMYFUNCTION("IF(ISDATE(O358),O358,L358)"),45689.0)</f>
        <v>45689</v>
      </c>
      <c r="R358" s="2">
        <v>27.0</v>
      </c>
      <c r="T358" s="4">
        <v>45689.0</v>
      </c>
    </row>
    <row r="359">
      <c r="A359" s="2" t="s">
        <v>461</v>
      </c>
      <c r="B359" s="2" t="s">
        <v>119</v>
      </c>
      <c r="C359" s="2" t="s">
        <v>28</v>
      </c>
      <c r="D359" s="2" t="s">
        <v>49</v>
      </c>
      <c r="E359" s="2">
        <v>212.0</v>
      </c>
      <c r="F359" s="3">
        <v>45366.0</v>
      </c>
      <c r="G359" s="2">
        <v>2.14909172E8</v>
      </c>
      <c r="H359" s="2" t="s">
        <v>69</v>
      </c>
      <c r="I359" s="2" t="s">
        <v>25</v>
      </c>
      <c r="J359" s="2">
        <v>56.0</v>
      </c>
      <c r="K359" s="2">
        <v>1013723.0</v>
      </c>
      <c r="L359" s="4">
        <v>45352.0</v>
      </c>
      <c r="M359" s="2" t="b">
        <v>0</v>
      </c>
      <c r="Q359" s="4">
        <f>IFERROR(__xludf.DUMMYFUNCTION("IF(ISDATE(O359),O359,L359)"),45352.0)</f>
        <v>45352</v>
      </c>
      <c r="R359" s="2">
        <v>56.0</v>
      </c>
      <c r="T359" s="4">
        <v>45352.0</v>
      </c>
    </row>
    <row r="360">
      <c r="A360" s="2" t="s">
        <v>462</v>
      </c>
      <c r="B360" s="2" t="s">
        <v>32</v>
      </c>
      <c r="C360" s="2" t="s">
        <v>57</v>
      </c>
      <c r="D360" s="2" t="s">
        <v>19</v>
      </c>
      <c r="E360" s="2">
        <v>68.0</v>
      </c>
      <c r="F360" s="3">
        <v>45122.0</v>
      </c>
      <c r="G360" s="3">
        <v>45138.0</v>
      </c>
      <c r="H360" s="2">
        <v>2.035808E7</v>
      </c>
      <c r="I360" s="2">
        <v>1.9539923E7</v>
      </c>
      <c r="J360" s="2" t="s">
        <v>20</v>
      </c>
      <c r="K360" s="2" t="s">
        <v>30</v>
      </c>
      <c r="L360" s="2">
        <v>84.0</v>
      </c>
      <c r="M360" s="2">
        <v>16.0</v>
      </c>
      <c r="N360" s="2">
        <v>299384.0</v>
      </c>
      <c r="O360" s="4">
        <v>45108.0</v>
      </c>
      <c r="P360" s="2" t="b">
        <v>1</v>
      </c>
      <c r="Q360" s="4">
        <f>IFERROR(__xludf.DUMMYFUNCTION("IF(ISDATE(O360),O360,L360)"),45108.0)</f>
        <v>45108</v>
      </c>
      <c r="R360" s="2">
        <v>84.0</v>
      </c>
      <c r="T360" s="4">
        <v>45108.0</v>
      </c>
    </row>
    <row r="361">
      <c r="A361" s="2" t="s">
        <v>463</v>
      </c>
      <c r="B361" s="2" t="s">
        <v>36</v>
      </c>
      <c r="C361" s="2" t="s">
        <v>28</v>
      </c>
      <c r="D361" s="2" t="s">
        <v>49</v>
      </c>
      <c r="E361" s="2">
        <v>178.0</v>
      </c>
      <c r="F361" s="3">
        <v>45098.0</v>
      </c>
      <c r="G361" s="3">
        <v>45124.0</v>
      </c>
      <c r="H361" s="2">
        <v>2.0531308E8</v>
      </c>
      <c r="I361" s="2">
        <v>1.98441753E8</v>
      </c>
      <c r="J361" s="2" t="s">
        <v>20</v>
      </c>
      <c r="K361" s="2" t="s">
        <v>25</v>
      </c>
      <c r="L361" s="2">
        <v>157.0</v>
      </c>
      <c r="M361" s="2">
        <v>26.0</v>
      </c>
      <c r="N361" s="2">
        <v>1153444.0</v>
      </c>
      <c r="O361" s="4">
        <v>45078.0</v>
      </c>
      <c r="P361" s="2" t="b">
        <v>1</v>
      </c>
      <c r="Q361" s="4">
        <f>IFERROR(__xludf.DUMMYFUNCTION("IF(ISDATE(O361),O361,L361)"),45078.0)</f>
        <v>45078</v>
      </c>
      <c r="R361" s="2">
        <v>157.0</v>
      </c>
      <c r="T361" s="4">
        <v>45078.0</v>
      </c>
    </row>
    <row r="362">
      <c r="A362" s="2" t="s">
        <v>464</v>
      </c>
      <c r="B362" s="2" t="s">
        <v>160</v>
      </c>
      <c r="C362" s="2" t="s">
        <v>64</v>
      </c>
      <c r="D362" s="2" t="s">
        <v>49</v>
      </c>
      <c r="E362" s="2">
        <v>277.0</v>
      </c>
      <c r="F362" s="3">
        <v>45850.0</v>
      </c>
      <c r="G362" s="3">
        <v>46057.0</v>
      </c>
      <c r="H362" s="2">
        <v>1.6148639E8</v>
      </c>
      <c r="I362" s="2">
        <v>1.73063913E8</v>
      </c>
      <c r="J362" s="2" t="s">
        <v>20</v>
      </c>
      <c r="K362" s="2" t="s">
        <v>73</v>
      </c>
      <c r="L362" s="2">
        <v>9.0</v>
      </c>
      <c r="M362" s="2">
        <v>207.0</v>
      </c>
      <c r="N362" s="2">
        <v>582983.0</v>
      </c>
      <c r="O362" s="4">
        <v>45839.0</v>
      </c>
      <c r="P362" s="2" t="b">
        <v>1</v>
      </c>
      <c r="Q362" s="4">
        <f>IFERROR(__xludf.DUMMYFUNCTION("IF(ISDATE(O362),O362,L362)"),45839.0)</f>
        <v>45839</v>
      </c>
      <c r="R362" s="2">
        <v>9.0</v>
      </c>
      <c r="T362" s="4">
        <v>45839.0</v>
      </c>
    </row>
    <row r="363">
      <c r="A363" s="2" t="s">
        <v>465</v>
      </c>
      <c r="B363" s="2" t="s">
        <v>121</v>
      </c>
      <c r="C363" s="2" t="s">
        <v>28</v>
      </c>
      <c r="D363" s="2" t="s">
        <v>102</v>
      </c>
      <c r="E363" s="2">
        <v>127.0</v>
      </c>
      <c r="F363" s="3">
        <v>45443.0</v>
      </c>
      <c r="G363" s="3">
        <v>45551.0</v>
      </c>
      <c r="H363" s="2">
        <v>1.53079042E8</v>
      </c>
      <c r="I363" s="2">
        <v>1.60234009E8</v>
      </c>
      <c r="J363" s="2" t="s">
        <v>20</v>
      </c>
      <c r="K363" s="2" t="s">
        <v>73</v>
      </c>
      <c r="L363" s="2">
        <v>168.0</v>
      </c>
      <c r="M363" s="2">
        <v>108.0</v>
      </c>
      <c r="N363" s="2">
        <v>1205347.0</v>
      </c>
      <c r="O363" s="4">
        <v>45413.0</v>
      </c>
      <c r="P363" s="2" t="b">
        <v>1</v>
      </c>
      <c r="Q363" s="4">
        <f>IFERROR(__xludf.DUMMYFUNCTION("IF(ISDATE(O363),O363,L363)"),45413.0)</f>
        <v>45413</v>
      </c>
      <c r="R363" s="2">
        <v>168.0</v>
      </c>
      <c r="T363" s="4">
        <v>45413.0</v>
      </c>
    </row>
    <row r="364">
      <c r="A364" s="2" t="s">
        <v>466</v>
      </c>
      <c r="B364" s="2" t="s">
        <v>121</v>
      </c>
      <c r="C364" s="2" t="s">
        <v>24</v>
      </c>
      <c r="D364" s="2" t="s">
        <v>58</v>
      </c>
      <c r="E364" s="2">
        <v>209.0</v>
      </c>
      <c r="F364" s="3">
        <v>44976.0</v>
      </c>
      <c r="G364" s="3">
        <v>45158.0</v>
      </c>
      <c r="H364" s="2">
        <v>1.76997987E8</v>
      </c>
      <c r="I364" s="2">
        <v>1.64204149E8</v>
      </c>
      <c r="J364" s="2" t="s">
        <v>20</v>
      </c>
      <c r="K364" s="2" t="s">
        <v>21</v>
      </c>
      <c r="L364" s="2">
        <v>111.0</v>
      </c>
      <c r="M364" s="2">
        <v>182.0</v>
      </c>
      <c r="N364" s="2">
        <v>846880.0</v>
      </c>
      <c r="O364" s="4">
        <v>44958.0</v>
      </c>
      <c r="P364" s="2" t="b">
        <v>1</v>
      </c>
      <c r="Q364" s="4">
        <f>IFERROR(__xludf.DUMMYFUNCTION("IF(ISDATE(O364),O364,L364)"),44958.0)</f>
        <v>44958</v>
      </c>
      <c r="R364" s="2">
        <v>111.0</v>
      </c>
      <c r="T364" s="4">
        <v>44958.0</v>
      </c>
    </row>
    <row r="365">
      <c r="A365" s="2" t="s">
        <v>467</v>
      </c>
      <c r="B365" s="2" t="s">
        <v>39</v>
      </c>
      <c r="C365" s="2" t="s">
        <v>24</v>
      </c>
      <c r="D365" s="2" t="s">
        <v>33</v>
      </c>
      <c r="E365" s="2">
        <v>100.0</v>
      </c>
      <c r="F365" s="3">
        <v>45645.0</v>
      </c>
      <c r="G365" s="3">
        <v>45837.0</v>
      </c>
      <c r="H365" s="2">
        <v>7.307924E7</v>
      </c>
      <c r="I365" s="2">
        <v>6.7341695E7</v>
      </c>
      <c r="J365" s="2" t="s">
        <v>20</v>
      </c>
      <c r="K365" s="2" t="s">
        <v>73</v>
      </c>
      <c r="L365" s="2">
        <v>174.0</v>
      </c>
      <c r="M365" s="2">
        <v>192.0</v>
      </c>
      <c r="N365" s="2">
        <v>730792.0</v>
      </c>
      <c r="O365" s="6">
        <v>45627.0</v>
      </c>
      <c r="P365" s="2" t="b">
        <v>1</v>
      </c>
      <c r="Q365" s="6">
        <f>IFERROR(__xludf.DUMMYFUNCTION("IF(ISDATE(O365),O365,L365)"),45627.0)</f>
        <v>45627</v>
      </c>
      <c r="R365" s="2">
        <v>174.0</v>
      </c>
      <c r="T365" s="6">
        <v>45627.0</v>
      </c>
    </row>
    <row r="366">
      <c r="A366" s="2" t="s">
        <v>468</v>
      </c>
      <c r="B366" s="2" t="s">
        <v>109</v>
      </c>
      <c r="C366" s="2" t="s">
        <v>28</v>
      </c>
      <c r="D366" s="2" t="s">
        <v>58</v>
      </c>
      <c r="E366" s="2">
        <v>119.0</v>
      </c>
      <c r="F366" s="3">
        <v>45644.0</v>
      </c>
      <c r="G366" s="3">
        <v>45685.0</v>
      </c>
      <c r="H366" s="2">
        <v>1.17343842E8</v>
      </c>
      <c r="I366" s="2">
        <v>1.19553622E8</v>
      </c>
      <c r="J366" s="2" t="s">
        <v>20</v>
      </c>
      <c r="K366" s="2" t="s">
        <v>30</v>
      </c>
      <c r="L366" s="2">
        <v>34.0</v>
      </c>
      <c r="M366" s="2">
        <v>41.0</v>
      </c>
      <c r="N366" s="2">
        <v>986083.0</v>
      </c>
      <c r="O366" s="6">
        <v>45627.0</v>
      </c>
      <c r="P366" s="2" t="b">
        <v>1</v>
      </c>
      <c r="Q366" s="6">
        <f>IFERROR(__xludf.DUMMYFUNCTION("IF(ISDATE(O366),O366,L366)"),45627.0)</f>
        <v>45627</v>
      </c>
      <c r="R366" s="2">
        <v>34.0</v>
      </c>
      <c r="T366" s="6">
        <v>45627.0</v>
      </c>
    </row>
    <row r="367">
      <c r="A367" s="2" t="s">
        <v>469</v>
      </c>
      <c r="B367" s="2" t="s">
        <v>135</v>
      </c>
      <c r="C367" s="2" t="s">
        <v>57</v>
      </c>
      <c r="D367" s="2" t="s">
        <v>81</v>
      </c>
      <c r="E367" s="2">
        <v>2027.0</v>
      </c>
      <c r="F367" s="3">
        <v>45723.0</v>
      </c>
      <c r="G367" s="3">
        <v>45871.0</v>
      </c>
      <c r="H367" s="2">
        <v>4.8229545E8</v>
      </c>
      <c r="I367" s="2">
        <v>4.71331665E8</v>
      </c>
      <c r="J367" s="2" t="s">
        <v>20</v>
      </c>
      <c r="K367" s="2" t="s">
        <v>73</v>
      </c>
      <c r="L367" s="2">
        <v>80.0</v>
      </c>
      <c r="M367" s="2">
        <v>148.0</v>
      </c>
      <c r="N367" s="2">
        <v>237936.0</v>
      </c>
      <c r="O367" s="4">
        <v>45717.0</v>
      </c>
      <c r="P367" s="2" t="b">
        <v>1</v>
      </c>
      <c r="Q367" s="4">
        <f>IFERROR(__xludf.DUMMYFUNCTION("IF(ISDATE(O367),O367,L367)"),45717.0)</f>
        <v>45717</v>
      </c>
      <c r="R367" s="2">
        <v>80.0</v>
      </c>
      <c r="T367" s="4">
        <v>45717.0</v>
      </c>
    </row>
    <row r="368">
      <c r="A368" s="2" t="s">
        <v>470</v>
      </c>
      <c r="B368" s="2" t="s">
        <v>163</v>
      </c>
      <c r="C368" s="2" t="s">
        <v>28</v>
      </c>
      <c r="D368" s="2" t="s">
        <v>58</v>
      </c>
      <c r="E368" s="2">
        <v>177.0</v>
      </c>
      <c r="F368" s="3">
        <v>45882.0</v>
      </c>
      <c r="G368" s="3">
        <v>45957.0</v>
      </c>
      <c r="H368" s="2">
        <v>1.40852E8</v>
      </c>
      <c r="I368" s="2">
        <v>1.44719979E8</v>
      </c>
      <c r="J368" s="2" t="s">
        <v>20</v>
      </c>
      <c r="K368" s="2" t="s">
        <v>21</v>
      </c>
      <c r="L368" s="2">
        <v>151.0</v>
      </c>
      <c r="M368" s="2">
        <v>75.0</v>
      </c>
      <c r="N368" s="2">
        <v>795774.0</v>
      </c>
      <c r="O368" s="4">
        <v>45870.0</v>
      </c>
      <c r="P368" s="2" t="b">
        <v>1</v>
      </c>
      <c r="Q368" s="4">
        <f>IFERROR(__xludf.DUMMYFUNCTION("IF(ISDATE(O368),O368,L368)"),45870.0)</f>
        <v>45870</v>
      </c>
      <c r="R368" s="2">
        <v>151.0</v>
      </c>
      <c r="T368" s="4">
        <v>45870.0</v>
      </c>
    </row>
    <row r="369">
      <c r="A369" s="2" t="s">
        <v>471</v>
      </c>
      <c r="B369" s="2" t="s">
        <v>60</v>
      </c>
      <c r="C369" s="2" t="s">
        <v>18</v>
      </c>
      <c r="D369" s="2" t="s">
        <v>102</v>
      </c>
      <c r="E369" s="2">
        <v>111.0</v>
      </c>
      <c r="F369" s="3">
        <v>45667.0</v>
      </c>
      <c r="G369" s="2">
        <v>4.3035493E7</v>
      </c>
      <c r="H369" s="2" t="s">
        <v>69</v>
      </c>
      <c r="I369" s="2" t="s">
        <v>73</v>
      </c>
      <c r="J369" s="2">
        <v>80.0</v>
      </c>
      <c r="K369" s="2">
        <v>387707.0</v>
      </c>
      <c r="L369" s="4">
        <v>45658.0</v>
      </c>
      <c r="M369" s="2" t="b">
        <v>0</v>
      </c>
      <c r="Q369" s="4">
        <f>IFERROR(__xludf.DUMMYFUNCTION("IF(ISDATE(O369),O369,L369)"),45658.0)</f>
        <v>45658</v>
      </c>
      <c r="R369" s="2">
        <v>80.0</v>
      </c>
      <c r="T369" s="4">
        <v>45658.0</v>
      </c>
    </row>
    <row r="370">
      <c r="A370" s="2" t="s">
        <v>472</v>
      </c>
      <c r="B370" s="2" t="s">
        <v>173</v>
      </c>
      <c r="C370" s="2" t="s">
        <v>24</v>
      </c>
      <c r="D370" s="2" t="s">
        <v>19</v>
      </c>
      <c r="E370" s="2">
        <v>43.0</v>
      </c>
      <c r="F370" s="3">
        <v>45799.0</v>
      </c>
      <c r="G370" s="3">
        <v>45987.0</v>
      </c>
      <c r="H370" s="2">
        <v>2.316553E7</v>
      </c>
      <c r="I370" s="2">
        <v>2.4049675E7</v>
      </c>
      <c r="J370" s="2" t="s">
        <v>20</v>
      </c>
      <c r="K370" s="2" t="s">
        <v>21</v>
      </c>
      <c r="L370" s="2">
        <v>16.0</v>
      </c>
      <c r="M370" s="2">
        <v>188.0</v>
      </c>
      <c r="N370" s="2">
        <v>538733.0</v>
      </c>
      <c r="O370" s="4">
        <v>45778.0</v>
      </c>
      <c r="P370" s="2" t="b">
        <v>1</v>
      </c>
      <c r="Q370" s="4">
        <f>IFERROR(__xludf.DUMMYFUNCTION("IF(ISDATE(O370),O370,L370)"),45778.0)</f>
        <v>45778</v>
      </c>
      <c r="R370" s="2">
        <v>16.0</v>
      </c>
      <c r="T370" s="4">
        <v>45778.0</v>
      </c>
    </row>
    <row r="371">
      <c r="A371" s="2" t="s">
        <v>473</v>
      </c>
      <c r="B371" s="2" t="s">
        <v>106</v>
      </c>
      <c r="C371" s="2" t="s">
        <v>28</v>
      </c>
      <c r="D371" s="2" t="s">
        <v>102</v>
      </c>
      <c r="E371" s="2">
        <v>121.0</v>
      </c>
      <c r="F371" s="3">
        <v>45842.0</v>
      </c>
      <c r="G371" s="3">
        <v>46016.0</v>
      </c>
      <c r="H371" s="2">
        <v>1.23075935E8</v>
      </c>
      <c r="I371" s="2">
        <v>1.27665543E8</v>
      </c>
      <c r="J371" s="2" t="s">
        <v>20</v>
      </c>
      <c r="K371" s="2" t="s">
        <v>30</v>
      </c>
      <c r="L371" s="2">
        <v>92.0</v>
      </c>
      <c r="M371" s="2">
        <v>174.0</v>
      </c>
      <c r="N371" s="2">
        <v>1017156.0</v>
      </c>
      <c r="O371" s="4">
        <v>45839.0</v>
      </c>
      <c r="P371" s="2" t="b">
        <v>1</v>
      </c>
      <c r="Q371" s="4">
        <f>IFERROR(__xludf.DUMMYFUNCTION("IF(ISDATE(O371),O371,L371)"),45839.0)</f>
        <v>45839</v>
      </c>
      <c r="R371" s="2">
        <v>92.0</v>
      </c>
      <c r="T371" s="4">
        <v>45839.0</v>
      </c>
    </row>
    <row r="372">
      <c r="A372" s="2" t="s">
        <v>474</v>
      </c>
      <c r="B372" s="2" t="s">
        <v>95</v>
      </c>
      <c r="C372" s="2" t="s">
        <v>28</v>
      </c>
      <c r="D372" s="2" t="s">
        <v>49</v>
      </c>
      <c r="E372" s="2">
        <v>152.0</v>
      </c>
      <c r="F372" s="3">
        <v>45782.0</v>
      </c>
      <c r="G372" s="3">
        <v>45919.0</v>
      </c>
      <c r="H372" s="2">
        <v>2.11622299E8</v>
      </c>
      <c r="I372" s="2">
        <v>2.16662176E8</v>
      </c>
      <c r="J372" s="2" t="s">
        <v>20</v>
      </c>
      <c r="K372" s="2" t="s">
        <v>42</v>
      </c>
      <c r="L372" s="2">
        <v>33.0</v>
      </c>
      <c r="M372" s="2">
        <v>137.0</v>
      </c>
      <c r="N372" s="2">
        <v>1392252.0</v>
      </c>
      <c r="O372" s="4">
        <v>45778.0</v>
      </c>
      <c r="P372" s="2" t="b">
        <v>1</v>
      </c>
      <c r="Q372" s="4">
        <f>IFERROR(__xludf.DUMMYFUNCTION("IF(ISDATE(O372),O372,L372)"),45778.0)</f>
        <v>45778</v>
      </c>
      <c r="R372" s="2">
        <v>33.0</v>
      </c>
      <c r="T372" s="4">
        <v>45778.0</v>
      </c>
    </row>
    <row r="373">
      <c r="A373" s="2" t="s">
        <v>475</v>
      </c>
      <c r="B373" s="2" t="s">
        <v>173</v>
      </c>
      <c r="C373" s="2" t="s">
        <v>28</v>
      </c>
      <c r="D373" s="2" t="s">
        <v>19</v>
      </c>
      <c r="E373" s="2">
        <v>70.0</v>
      </c>
      <c r="F373" s="3">
        <v>45353.0</v>
      </c>
      <c r="G373" s="2">
        <v>5.9218566E7</v>
      </c>
      <c r="H373" s="2" t="s">
        <v>69</v>
      </c>
      <c r="I373" s="2" t="s">
        <v>73</v>
      </c>
      <c r="J373" s="2">
        <v>51.0</v>
      </c>
      <c r="K373" s="2">
        <v>845980.0</v>
      </c>
      <c r="L373" s="4">
        <v>45352.0</v>
      </c>
      <c r="M373" s="2" t="b">
        <v>0</v>
      </c>
      <c r="Q373" s="4">
        <f>IFERROR(__xludf.DUMMYFUNCTION("IF(ISDATE(O373),O373,L373)"),45352.0)</f>
        <v>45352</v>
      </c>
      <c r="R373" s="2">
        <v>51.0</v>
      </c>
      <c r="T373" s="4">
        <v>45352.0</v>
      </c>
    </row>
    <row r="374">
      <c r="A374" s="2" t="s">
        <v>476</v>
      </c>
      <c r="B374" s="2" t="s">
        <v>78</v>
      </c>
      <c r="C374" s="2" t="s">
        <v>64</v>
      </c>
      <c r="D374" s="2" t="s">
        <v>67</v>
      </c>
      <c r="E374" s="2">
        <v>44.0</v>
      </c>
      <c r="F374" s="3">
        <v>45828.0</v>
      </c>
      <c r="G374" s="2">
        <v>1.4459193E7</v>
      </c>
      <c r="H374" s="2" t="s">
        <v>41</v>
      </c>
      <c r="I374" s="2" t="s">
        <v>73</v>
      </c>
      <c r="J374" s="2">
        <v>33.0</v>
      </c>
      <c r="K374" s="2">
        <v>328618.0</v>
      </c>
      <c r="L374" s="4">
        <v>45809.0</v>
      </c>
      <c r="M374" s="2" t="b">
        <v>0</v>
      </c>
      <c r="Q374" s="4">
        <f>IFERROR(__xludf.DUMMYFUNCTION("IF(ISDATE(O374),O374,L374)"),45809.0)</f>
        <v>45809</v>
      </c>
      <c r="R374" s="2">
        <v>33.0</v>
      </c>
      <c r="T374" s="4">
        <v>45809.0</v>
      </c>
    </row>
    <row r="375">
      <c r="A375" s="2" t="s">
        <v>477</v>
      </c>
      <c r="B375" s="2" t="s">
        <v>99</v>
      </c>
      <c r="C375" s="2" t="s">
        <v>40</v>
      </c>
      <c r="D375" s="2" t="s">
        <v>81</v>
      </c>
      <c r="E375" s="2">
        <v>776.0</v>
      </c>
      <c r="F375" s="3">
        <v>45597.0</v>
      </c>
      <c r="G375" s="3">
        <v>45792.0</v>
      </c>
      <c r="H375" s="2">
        <v>1.3936955E8</v>
      </c>
      <c r="I375" s="2">
        <v>1.39922967E8</v>
      </c>
      <c r="J375" s="2" t="s">
        <v>20</v>
      </c>
      <c r="K375" s="2" t="s">
        <v>25</v>
      </c>
      <c r="L375" s="2">
        <v>149.0</v>
      </c>
      <c r="M375" s="2">
        <v>195.0</v>
      </c>
      <c r="N375" s="2">
        <v>179600.0</v>
      </c>
      <c r="O375" s="6">
        <v>45597.0</v>
      </c>
      <c r="P375" s="2" t="b">
        <v>1</v>
      </c>
      <c r="Q375" s="6">
        <f>IFERROR(__xludf.DUMMYFUNCTION("IF(ISDATE(O375),O375,L375)"),45597.0)</f>
        <v>45597</v>
      </c>
      <c r="R375" s="2">
        <v>149.0</v>
      </c>
      <c r="T375" s="6">
        <v>45597.0</v>
      </c>
    </row>
    <row r="376">
      <c r="A376" s="2" t="s">
        <v>478</v>
      </c>
      <c r="B376" s="2" t="s">
        <v>165</v>
      </c>
      <c r="C376" s="2" t="s">
        <v>28</v>
      </c>
      <c r="D376" s="2" t="s">
        <v>67</v>
      </c>
      <c r="E376" s="2">
        <v>41.0</v>
      </c>
      <c r="F376" s="3">
        <v>45644.0</v>
      </c>
      <c r="G376" s="3">
        <v>45769.0</v>
      </c>
      <c r="H376" s="2">
        <v>2.7192748E7</v>
      </c>
      <c r="I376" s="2">
        <v>2.6098846E7</v>
      </c>
      <c r="J376" s="2" t="s">
        <v>20</v>
      </c>
      <c r="K376" s="2" t="s">
        <v>30</v>
      </c>
      <c r="L376" s="2">
        <v>174.0</v>
      </c>
      <c r="M376" s="2">
        <v>125.0</v>
      </c>
      <c r="N376" s="2">
        <v>663238.0</v>
      </c>
      <c r="O376" s="6">
        <v>45627.0</v>
      </c>
      <c r="P376" s="2" t="b">
        <v>1</v>
      </c>
      <c r="Q376" s="6">
        <f>IFERROR(__xludf.DUMMYFUNCTION("IF(ISDATE(O376),O376,L376)"),45627.0)</f>
        <v>45627</v>
      </c>
      <c r="R376" s="2">
        <v>174.0</v>
      </c>
      <c r="T376" s="6">
        <v>45627.0</v>
      </c>
    </row>
    <row r="377">
      <c r="A377" s="2" t="s">
        <v>479</v>
      </c>
      <c r="B377" s="2" t="s">
        <v>275</v>
      </c>
      <c r="C377" s="2" t="s">
        <v>18</v>
      </c>
      <c r="D377" s="2" t="s">
        <v>49</v>
      </c>
      <c r="E377" s="2">
        <v>88.0</v>
      </c>
      <c r="F377" s="3">
        <v>44982.0</v>
      </c>
      <c r="G377" s="3">
        <v>45037.0</v>
      </c>
      <c r="H377" s="2">
        <v>3.6297623E7</v>
      </c>
      <c r="I377" s="2">
        <v>3.6119264E7</v>
      </c>
      <c r="J377" s="2" t="s">
        <v>20</v>
      </c>
      <c r="K377" s="2" t="s">
        <v>73</v>
      </c>
      <c r="L377" s="2">
        <v>47.0</v>
      </c>
      <c r="M377" s="2">
        <v>55.0</v>
      </c>
      <c r="N377" s="2">
        <v>412473.0</v>
      </c>
      <c r="O377" s="4">
        <v>44958.0</v>
      </c>
      <c r="P377" s="2" t="b">
        <v>1</v>
      </c>
      <c r="Q377" s="4">
        <f>IFERROR(__xludf.DUMMYFUNCTION("IF(ISDATE(O377),O377,L377)"),44958.0)</f>
        <v>44958</v>
      </c>
      <c r="R377" s="2">
        <v>47.0</v>
      </c>
      <c r="T377" s="4">
        <v>44958.0</v>
      </c>
    </row>
    <row r="378">
      <c r="A378" s="2" t="s">
        <v>480</v>
      </c>
      <c r="B378" s="2" t="s">
        <v>111</v>
      </c>
      <c r="C378" s="2" t="s">
        <v>28</v>
      </c>
      <c r="D378" s="2" t="s">
        <v>81</v>
      </c>
      <c r="E378" s="2">
        <v>3026.0</v>
      </c>
      <c r="F378" s="3">
        <v>45920.0</v>
      </c>
      <c r="G378" s="3">
        <v>46064.0</v>
      </c>
      <c r="H378" s="2">
        <v>1.449248627E9</v>
      </c>
      <c r="I378" s="2">
        <v>1.482481014E9</v>
      </c>
      <c r="J378" s="2" t="s">
        <v>20</v>
      </c>
      <c r="K378" s="2" t="s">
        <v>73</v>
      </c>
      <c r="L378" s="2">
        <v>65.0</v>
      </c>
      <c r="M378" s="2">
        <v>144.0</v>
      </c>
      <c r="N378" s="2">
        <v>478932.0</v>
      </c>
      <c r="O378" s="4">
        <v>45901.0</v>
      </c>
      <c r="P378" s="2" t="b">
        <v>1</v>
      </c>
      <c r="Q378" s="4">
        <f>IFERROR(__xludf.DUMMYFUNCTION("IF(ISDATE(O378),O378,L378)"),45901.0)</f>
        <v>45901</v>
      </c>
      <c r="R378" s="2">
        <v>65.0</v>
      </c>
      <c r="T378" s="4">
        <v>45901.0</v>
      </c>
    </row>
    <row r="379">
      <c r="A379" s="2" t="s">
        <v>481</v>
      </c>
      <c r="B379" s="2" t="s">
        <v>178</v>
      </c>
      <c r="C379" s="2" t="s">
        <v>28</v>
      </c>
      <c r="D379" s="2" t="s">
        <v>81</v>
      </c>
      <c r="E379" s="2">
        <v>4070.0</v>
      </c>
      <c r="F379" s="3">
        <v>45384.0</v>
      </c>
      <c r="G379" s="3">
        <v>45526.0</v>
      </c>
      <c r="H379" s="2">
        <v>2.383102007E9</v>
      </c>
      <c r="I379" s="2">
        <v>2.199229149E9</v>
      </c>
      <c r="J379" s="2" t="s">
        <v>20</v>
      </c>
      <c r="K379" s="2" t="s">
        <v>73</v>
      </c>
      <c r="L379" s="2">
        <v>110.0</v>
      </c>
      <c r="M379" s="2">
        <v>142.0</v>
      </c>
      <c r="N379" s="2">
        <v>585529.0</v>
      </c>
      <c r="O379" s="4">
        <v>45383.0</v>
      </c>
      <c r="P379" s="2" t="b">
        <v>1</v>
      </c>
      <c r="Q379" s="4">
        <f>IFERROR(__xludf.DUMMYFUNCTION("IF(ISDATE(O379),O379,L379)"),45383.0)</f>
        <v>45383</v>
      </c>
      <c r="R379" s="2">
        <v>110.0</v>
      </c>
      <c r="T379" s="4">
        <v>45383.0</v>
      </c>
    </row>
    <row r="380">
      <c r="A380" s="2" t="s">
        <v>482</v>
      </c>
      <c r="B380" s="2" t="s">
        <v>86</v>
      </c>
      <c r="C380" s="2" t="s">
        <v>28</v>
      </c>
      <c r="D380" s="2" t="s">
        <v>58</v>
      </c>
      <c r="E380" s="2">
        <v>50.0</v>
      </c>
      <c r="F380" s="3">
        <v>45913.0</v>
      </c>
      <c r="G380" s="3">
        <v>46005.0</v>
      </c>
      <c r="H380" s="2">
        <v>5.6382573E7</v>
      </c>
      <c r="I380" s="2">
        <v>5.6944888E7</v>
      </c>
      <c r="J380" s="2" t="s">
        <v>20</v>
      </c>
      <c r="K380" s="2" t="s">
        <v>73</v>
      </c>
      <c r="L380" s="2">
        <v>92.0</v>
      </c>
      <c r="M380" s="2">
        <v>92.0</v>
      </c>
      <c r="N380" s="2">
        <v>1127651.0</v>
      </c>
      <c r="O380" s="4">
        <v>45901.0</v>
      </c>
      <c r="P380" s="2" t="b">
        <v>1</v>
      </c>
      <c r="Q380" s="4">
        <f>IFERROR(__xludf.DUMMYFUNCTION("IF(ISDATE(O380),O380,L380)"),45901.0)</f>
        <v>45901</v>
      </c>
      <c r="R380" s="2">
        <v>92.0</v>
      </c>
      <c r="T380" s="4">
        <v>45901.0</v>
      </c>
    </row>
    <row r="381">
      <c r="A381" s="2" t="s">
        <v>483</v>
      </c>
      <c r="B381" s="2" t="s">
        <v>132</v>
      </c>
      <c r="C381" s="2" t="s">
        <v>24</v>
      </c>
      <c r="D381" s="2" t="s">
        <v>19</v>
      </c>
      <c r="E381" s="2">
        <v>66.0</v>
      </c>
      <c r="F381" s="3">
        <v>45266.0</v>
      </c>
      <c r="G381" s="3">
        <v>45439.0</v>
      </c>
      <c r="H381" s="2">
        <v>3.9746137E7</v>
      </c>
      <c r="I381" s="2">
        <v>4.1123948E7</v>
      </c>
      <c r="J381" s="2" t="s">
        <v>20</v>
      </c>
      <c r="K381" s="2" t="s">
        <v>30</v>
      </c>
      <c r="L381" s="2">
        <v>120.0</v>
      </c>
      <c r="M381" s="2">
        <v>173.0</v>
      </c>
      <c r="N381" s="2">
        <v>602214.0</v>
      </c>
      <c r="O381" s="6">
        <v>45261.0</v>
      </c>
      <c r="P381" s="2" t="b">
        <v>1</v>
      </c>
      <c r="Q381" s="6">
        <f>IFERROR(__xludf.DUMMYFUNCTION("IF(ISDATE(O381),O381,L381)"),45261.0)</f>
        <v>45261</v>
      </c>
      <c r="R381" s="2">
        <v>120.0</v>
      </c>
      <c r="T381" s="6">
        <v>45261.0</v>
      </c>
    </row>
    <row r="382">
      <c r="A382" s="2" t="s">
        <v>484</v>
      </c>
      <c r="B382" s="2" t="s">
        <v>106</v>
      </c>
      <c r="C382" s="2" t="s">
        <v>28</v>
      </c>
      <c r="D382" s="2" t="s">
        <v>72</v>
      </c>
      <c r="E382" s="2">
        <v>180.0</v>
      </c>
      <c r="F382" s="3">
        <v>45776.0</v>
      </c>
      <c r="G382" s="3">
        <v>45865.0</v>
      </c>
      <c r="H382" s="2">
        <v>2.94423594E8</v>
      </c>
      <c r="I382" s="2">
        <v>2.88482849E8</v>
      </c>
      <c r="J382" s="2" t="s">
        <v>20</v>
      </c>
      <c r="K382" s="2" t="s">
        <v>21</v>
      </c>
      <c r="L382" s="2">
        <v>16.0</v>
      </c>
      <c r="M382" s="2">
        <v>89.0</v>
      </c>
      <c r="N382" s="2">
        <v>1635687.0</v>
      </c>
      <c r="O382" s="4">
        <v>45748.0</v>
      </c>
      <c r="P382" s="2" t="b">
        <v>1</v>
      </c>
      <c r="Q382" s="4">
        <f>IFERROR(__xludf.DUMMYFUNCTION("IF(ISDATE(O382),O382,L382)"),45748.0)</f>
        <v>45748</v>
      </c>
      <c r="R382" s="2">
        <v>16.0</v>
      </c>
      <c r="T382" s="4">
        <v>45748.0</v>
      </c>
    </row>
    <row r="383">
      <c r="A383" s="2" t="s">
        <v>485</v>
      </c>
      <c r="B383" s="2" t="s">
        <v>80</v>
      </c>
      <c r="C383" s="2" t="s">
        <v>40</v>
      </c>
      <c r="D383" s="2" t="s">
        <v>81</v>
      </c>
      <c r="E383" s="2">
        <v>1550.0</v>
      </c>
      <c r="F383" s="3">
        <v>45187.0</v>
      </c>
      <c r="G383" s="3">
        <v>45250.0</v>
      </c>
      <c r="H383" s="2">
        <v>2.0885436E8</v>
      </c>
      <c r="I383" s="2">
        <v>2.20623532E8</v>
      </c>
      <c r="J383" s="2" t="s">
        <v>20</v>
      </c>
      <c r="K383" s="2" t="s">
        <v>42</v>
      </c>
      <c r="L383" s="2">
        <v>122.0</v>
      </c>
      <c r="M383" s="2">
        <v>63.0</v>
      </c>
      <c r="N383" s="2">
        <v>134745.0</v>
      </c>
      <c r="O383" s="4">
        <v>45170.0</v>
      </c>
      <c r="P383" s="2" t="b">
        <v>1</v>
      </c>
      <c r="Q383" s="4">
        <f>IFERROR(__xludf.DUMMYFUNCTION("IF(ISDATE(O383),O383,L383)"),45170.0)</f>
        <v>45170</v>
      </c>
      <c r="R383" s="2">
        <v>122.0</v>
      </c>
      <c r="T383" s="4">
        <v>45170.0</v>
      </c>
    </row>
    <row r="384">
      <c r="A384" s="2" t="s">
        <v>486</v>
      </c>
      <c r="B384" s="2" t="s">
        <v>178</v>
      </c>
      <c r="C384" s="2" t="s">
        <v>57</v>
      </c>
      <c r="D384" s="2" t="s">
        <v>72</v>
      </c>
      <c r="E384" s="2">
        <v>266.0</v>
      </c>
      <c r="F384" s="3">
        <v>44974.0</v>
      </c>
      <c r="G384" s="2">
        <v>1.66319713E8</v>
      </c>
      <c r="H384" s="2" t="s">
        <v>34</v>
      </c>
      <c r="I384" s="2" t="s">
        <v>73</v>
      </c>
      <c r="J384" s="2">
        <v>122.0</v>
      </c>
      <c r="K384" s="2">
        <v>625262.0</v>
      </c>
      <c r="L384" s="4">
        <v>44958.0</v>
      </c>
      <c r="M384" s="2" t="b">
        <v>0</v>
      </c>
      <c r="Q384" s="4">
        <f>IFERROR(__xludf.DUMMYFUNCTION("IF(ISDATE(O384),O384,L384)"),44958.0)</f>
        <v>44958</v>
      </c>
      <c r="R384" s="2">
        <v>122.0</v>
      </c>
      <c r="T384" s="4">
        <v>44958.0</v>
      </c>
    </row>
    <row r="385">
      <c r="A385" s="2" t="s">
        <v>487</v>
      </c>
      <c r="B385" s="2" t="s">
        <v>129</v>
      </c>
      <c r="C385" s="2" t="s">
        <v>18</v>
      </c>
      <c r="D385" s="2" t="s">
        <v>58</v>
      </c>
      <c r="E385" s="2">
        <v>84.0</v>
      </c>
      <c r="F385" s="3">
        <v>45470.0</v>
      </c>
      <c r="G385" s="2">
        <v>3.1670518E7</v>
      </c>
      <c r="H385" s="2" t="s">
        <v>34</v>
      </c>
      <c r="I385" s="2" t="s">
        <v>25</v>
      </c>
      <c r="J385" s="2">
        <v>128.0</v>
      </c>
      <c r="K385" s="2">
        <v>377030.0</v>
      </c>
      <c r="L385" s="4">
        <v>45444.0</v>
      </c>
      <c r="M385" s="2" t="b">
        <v>0</v>
      </c>
      <c r="Q385" s="4">
        <f>IFERROR(__xludf.DUMMYFUNCTION("IF(ISDATE(O385),O385,L385)"),45444.0)</f>
        <v>45444</v>
      </c>
      <c r="R385" s="2">
        <v>128.0</v>
      </c>
      <c r="T385" s="4">
        <v>45444.0</v>
      </c>
    </row>
    <row r="386">
      <c r="A386" s="2" t="s">
        <v>488</v>
      </c>
      <c r="B386" s="2" t="s">
        <v>71</v>
      </c>
      <c r="C386" s="2" t="s">
        <v>93</v>
      </c>
      <c r="D386" s="2" t="s">
        <v>102</v>
      </c>
      <c r="E386" s="2">
        <v>174.0</v>
      </c>
      <c r="F386" s="3">
        <v>45761.0</v>
      </c>
      <c r="G386" s="3">
        <v>45875.0</v>
      </c>
      <c r="H386" s="2">
        <v>7.2623819E7</v>
      </c>
      <c r="I386" s="2">
        <v>7.3857387E7</v>
      </c>
      <c r="J386" s="2" t="s">
        <v>20</v>
      </c>
      <c r="K386" s="2" t="s">
        <v>30</v>
      </c>
      <c r="L386" s="2">
        <v>134.0</v>
      </c>
      <c r="M386" s="2">
        <v>114.0</v>
      </c>
      <c r="N386" s="2">
        <v>417378.0</v>
      </c>
      <c r="O386" s="4">
        <v>45748.0</v>
      </c>
      <c r="P386" s="2" t="b">
        <v>1</v>
      </c>
      <c r="Q386" s="4">
        <f>IFERROR(__xludf.DUMMYFUNCTION("IF(ISDATE(O386),O386,L386)"),45748.0)</f>
        <v>45748</v>
      </c>
      <c r="R386" s="2">
        <v>134.0</v>
      </c>
      <c r="T386" s="4">
        <v>45748.0</v>
      </c>
    </row>
    <row r="387">
      <c r="A387" s="2" t="s">
        <v>489</v>
      </c>
      <c r="B387" s="2" t="s">
        <v>137</v>
      </c>
      <c r="C387" s="2" t="s">
        <v>40</v>
      </c>
      <c r="D387" s="2" t="s">
        <v>49</v>
      </c>
      <c r="E387" s="2">
        <v>300.0</v>
      </c>
      <c r="F387" s="3">
        <v>45707.0</v>
      </c>
      <c r="G387" s="3">
        <v>45823.0</v>
      </c>
      <c r="H387" s="2">
        <v>1.29720928E8</v>
      </c>
      <c r="I387" s="2">
        <v>1.39486146E8</v>
      </c>
      <c r="J387" s="2" t="s">
        <v>20</v>
      </c>
      <c r="K387" s="2" t="s">
        <v>73</v>
      </c>
      <c r="L387" s="2">
        <v>39.0</v>
      </c>
      <c r="M387" s="2">
        <v>116.0</v>
      </c>
      <c r="N387" s="2">
        <v>432403.0</v>
      </c>
      <c r="O387" s="4">
        <v>45689.0</v>
      </c>
      <c r="P387" s="2" t="b">
        <v>1</v>
      </c>
      <c r="Q387" s="4">
        <f>IFERROR(__xludf.DUMMYFUNCTION("IF(ISDATE(O387),O387,L387)"),45689.0)</f>
        <v>45689</v>
      </c>
      <c r="R387" s="2">
        <v>39.0</v>
      </c>
      <c r="T387" s="4">
        <v>45689.0</v>
      </c>
    </row>
    <row r="388">
      <c r="A388" s="2" t="s">
        <v>490</v>
      </c>
      <c r="B388" s="2" t="s">
        <v>220</v>
      </c>
      <c r="C388" s="2" t="s">
        <v>28</v>
      </c>
      <c r="D388" s="2" t="s">
        <v>29</v>
      </c>
      <c r="E388" s="2">
        <v>4596.0</v>
      </c>
      <c r="F388" s="3">
        <v>45487.0</v>
      </c>
      <c r="G388" s="2">
        <v>2.012396531E9</v>
      </c>
      <c r="H388" s="2" t="s">
        <v>34</v>
      </c>
      <c r="I388" s="2" t="s">
        <v>25</v>
      </c>
      <c r="J388" s="2">
        <v>166.0</v>
      </c>
      <c r="K388" s="2">
        <v>437858.0</v>
      </c>
      <c r="L388" s="4">
        <v>45474.0</v>
      </c>
      <c r="M388" s="2" t="b">
        <v>0</v>
      </c>
      <c r="Q388" s="4">
        <f>IFERROR(__xludf.DUMMYFUNCTION("IF(ISDATE(O388),O388,L388)"),45474.0)</f>
        <v>45474</v>
      </c>
      <c r="R388" s="2">
        <v>166.0</v>
      </c>
      <c r="T388" s="4">
        <v>45474.0</v>
      </c>
    </row>
    <row r="389">
      <c r="A389" s="2" t="s">
        <v>491</v>
      </c>
      <c r="B389" s="2" t="s">
        <v>220</v>
      </c>
      <c r="C389" s="2" t="s">
        <v>28</v>
      </c>
      <c r="D389" s="2" t="s">
        <v>72</v>
      </c>
      <c r="E389" s="2">
        <v>339.0</v>
      </c>
      <c r="F389" s="3">
        <v>45280.0</v>
      </c>
      <c r="G389" s="2">
        <v>6.44465212E8</v>
      </c>
      <c r="H389" s="2" t="s">
        <v>41</v>
      </c>
      <c r="I389" s="2" t="s">
        <v>42</v>
      </c>
      <c r="J389" s="2">
        <v>133.0</v>
      </c>
      <c r="K389" s="2">
        <v>1901077.0</v>
      </c>
      <c r="L389" s="6">
        <v>45261.0</v>
      </c>
      <c r="M389" s="2" t="b">
        <v>0</v>
      </c>
      <c r="Q389" s="6">
        <f>IFERROR(__xludf.DUMMYFUNCTION("IF(ISDATE(O389),O389,L389)"),45261.0)</f>
        <v>45261</v>
      </c>
      <c r="R389" s="2">
        <v>133.0</v>
      </c>
      <c r="T389" s="6">
        <v>45261.0</v>
      </c>
    </row>
    <row r="390">
      <c r="A390" s="2" t="s">
        <v>492</v>
      </c>
      <c r="B390" s="2" t="s">
        <v>32</v>
      </c>
      <c r="C390" s="2" t="s">
        <v>64</v>
      </c>
      <c r="D390" s="2" t="s">
        <v>67</v>
      </c>
      <c r="E390" s="2">
        <v>28.0</v>
      </c>
      <c r="F390" s="3">
        <v>45418.0</v>
      </c>
      <c r="G390" s="3">
        <v>45603.0</v>
      </c>
      <c r="H390" s="2">
        <v>1.0002316E7</v>
      </c>
      <c r="I390" s="2">
        <v>1.028117E7</v>
      </c>
      <c r="J390" s="2" t="s">
        <v>20</v>
      </c>
      <c r="K390" s="2" t="s">
        <v>25</v>
      </c>
      <c r="L390" s="2">
        <v>78.0</v>
      </c>
      <c r="M390" s="2">
        <v>185.0</v>
      </c>
      <c r="N390" s="2">
        <v>357226.0</v>
      </c>
      <c r="O390" s="4">
        <v>45413.0</v>
      </c>
      <c r="P390" s="2" t="b">
        <v>1</v>
      </c>
      <c r="Q390" s="4">
        <f>IFERROR(__xludf.DUMMYFUNCTION("IF(ISDATE(O390),O390,L390)"),45413.0)</f>
        <v>45413</v>
      </c>
      <c r="R390" s="2">
        <v>78.0</v>
      </c>
      <c r="T390" s="4">
        <v>45413.0</v>
      </c>
    </row>
    <row r="391">
      <c r="A391" s="2" t="s">
        <v>493</v>
      </c>
      <c r="B391" s="2" t="s">
        <v>121</v>
      </c>
      <c r="C391" s="2" t="s">
        <v>40</v>
      </c>
      <c r="D391" s="2" t="s">
        <v>49</v>
      </c>
      <c r="E391" s="2">
        <v>256.0</v>
      </c>
      <c r="F391" s="3">
        <v>45036.0</v>
      </c>
      <c r="G391" s="3">
        <v>45088.0</v>
      </c>
      <c r="H391" s="2">
        <v>7.8061849E7</v>
      </c>
      <c r="I391" s="2">
        <v>7.2523888E7</v>
      </c>
      <c r="J391" s="2" t="s">
        <v>20</v>
      </c>
      <c r="K391" s="2" t="s">
        <v>30</v>
      </c>
      <c r="L391" s="2">
        <v>46.0</v>
      </c>
      <c r="M391" s="2">
        <v>52.0</v>
      </c>
      <c r="N391" s="2">
        <v>304929.0</v>
      </c>
      <c r="O391" s="4">
        <v>45017.0</v>
      </c>
      <c r="P391" s="2" t="b">
        <v>1</v>
      </c>
      <c r="Q391" s="4">
        <f>IFERROR(__xludf.DUMMYFUNCTION("IF(ISDATE(O391),O391,L391)"),45017.0)</f>
        <v>45017</v>
      </c>
      <c r="R391" s="2">
        <v>46.0</v>
      </c>
      <c r="T391" s="4">
        <v>45017.0</v>
      </c>
    </row>
    <row r="392">
      <c r="A392" s="2" t="s">
        <v>494</v>
      </c>
      <c r="B392" s="2" t="s">
        <v>78</v>
      </c>
      <c r="C392" s="2" t="s">
        <v>101</v>
      </c>
      <c r="D392" s="2" t="s">
        <v>37</v>
      </c>
      <c r="E392" s="2">
        <v>374.0</v>
      </c>
      <c r="F392" s="3">
        <v>45730.0</v>
      </c>
      <c r="G392" s="3">
        <v>45937.0</v>
      </c>
      <c r="H392" s="2">
        <v>2.3692245E8</v>
      </c>
      <c r="I392" s="2">
        <v>2.31565441E8</v>
      </c>
      <c r="J392" s="2" t="s">
        <v>20</v>
      </c>
      <c r="K392" s="2" t="s">
        <v>73</v>
      </c>
      <c r="L392" s="2">
        <v>31.0</v>
      </c>
      <c r="M392" s="2">
        <v>207.0</v>
      </c>
      <c r="N392" s="2">
        <v>633482.0</v>
      </c>
      <c r="O392" s="4">
        <v>45717.0</v>
      </c>
      <c r="P392" s="2" t="b">
        <v>1</v>
      </c>
      <c r="Q392" s="4">
        <f>IFERROR(__xludf.DUMMYFUNCTION("IF(ISDATE(O392),O392,L392)"),45717.0)</f>
        <v>45717</v>
      </c>
      <c r="R392" s="2">
        <v>31.0</v>
      </c>
      <c r="T392" s="4">
        <v>45717.0</v>
      </c>
    </row>
    <row r="393">
      <c r="A393" s="2" t="s">
        <v>495</v>
      </c>
      <c r="B393" s="2" t="s">
        <v>163</v>
      </c>
      <c r="C393" s="2" t="s">
        <v>64</v>
      </c>
      <c r="D393" s="2" t="s">
        <v>58</v>
      </c>
      <c r="E393" s="2">
        <v>271.0</v>
      </c>
      <c r="F393" s="3">
        <v>45589.0</v>
      </c>
      <c r="G393" s="3">
        <v>45664.0</v>
      </c>
      <c r="H393" s="2">
        <v>1.41438318E8</v>
      </c>
      <c r="I393" s="2">
        <v>1.48155702E8</v>
      </c>
      <c r="J393" s="2" t="s">
        <v>20</v>
      </c>
      <c r="K393" s="2" t="s">
        <v>30</v>
      </c>
      <c r="L393" s="2">
        <v>175.0</v>
      </c>
      <c r="M393" s="2">
        <v>75.0</v>
      </c>
      <c r="N393" s="2">
        <v>521913.0</v>
      </c>
      <c r="O393" s="6">
        <v>45566.0</v>
      </c>
      <c r="P393" s="2" t="b">
        <v>1</v>
      </c>
      <c r="Q393" s="6">
        <f>IFERROR(__xludf.DUMMYFUNCTION("IF(ISDATE(O393),O393,L393)"),45566.0)</f>
        <v>45566</v>
      </c>
      <c r="R393" s="2">
        <v>175.0</v>
      </c>
      <c r="T393" s="6">
        <v>45566.0</v>
      </c>
    </row>
    <row r="394">
      <c r="A394" s="2" t="s">
        <v>496</v>
      </c>
      <c r="B394" s="2" t="s">
        <v>113</v>
      </c>
      <c r="C394" s="2" t="s">
        <v>28</v>
      </c>
      <c r="D394" s="2" t="s">
        <v>49</v>
      </c>
      <c r="E394" s="2">
        <v>149.0</v>
      </c>
      <c r="F394" s="3">
        <v>45247.0</v>
      </c>
      <c r="G394" s="2">
        <v>1.51633046E8</v>
      </c>
      <c r="H394" s="2" t="s">
        <v>41</v>
      </c>
      <c r="I394" s="2" t="s">
        <v>30</v>
      </c>
      <c r="J394" s="2">
        <v>56.0</v>
      </c>
      <c r="K394" s="2">
        <v>1017671.0</v>
      </c>
      <c r="L394" s="6">
        <v>45231.0</v>
      </c>
      <c r="M394" s="2" t="b">
        <v>0</v>
      </c>
      <c r="Q394" s="6">
        <f>IFERROR(__xludf.DUMMYFUNCTION("IF(ISDATE(O394),O394,L394)"),45231.0)</f>
        <v>45231</v>
      </c>
      <c r="R394" s="2">
        <v>56.0</v>
      </c>
      <c r="T394" s="6">
        <v>45231.0</v>
      </c>
    </row>
    <row r="395">
      <c r="A395" s="2" t="s">
        <v>497</v>
      </c>
      <c r="B395" s="2" t="s">
        <v>32</v>
      </c>
      <c r="C395" s="2" t="s">
        <v>64</v>
      </c>
      <c r="D395" s="2" t="s">
        <v>81</v>
      </c>
      <c r="E395" s="2">
        <v>2247.0</v>
      </c>
      <c r="F395" s="3">
        <v>45486.0</v>
      </c>
      <c r="G395" s="2">
        <v>7.04038687E8</v>
      </c>
      <c r="H395" s="2" t="s">
        <v>41</v>
      </c>
      <c r="I395" s="2" t="s">
        <v>42</v>
      </c>
      <c r="J395" s="2">
        <v>80.0</v>
      </c>
      <c r="K395" s="2">
        <v>313324.0</v>
      </c>
      <c r="L395" s="4">
        <v>45474.0</v>
      </c>
      <c r="M395" s="2" t="b">
        <v>0</v>
      </c>
      <c r="Q395" s="4">
        <f>IFERROR(__xludf.DUMMYFUNCTION("IF(ISDATE(O395),O395,L395)"),45474.0)</f>
        <v>45474</v>
      </c>
      <c r="R395" s="2">
        <v>80.0</v>
      </c>
      <c r="T395" s="4">
        <v>45474.0</v>
      </c>
    </row>
    <row r="396">
      <c r="A396" s="2" t="s">
        <v>498</v>
      </c>
      <c r="B396" s="2" t="s">
        <v>71</v>
      </c>
      <c r="C396" s="2" t="s">
        <v>24</v>
      </c>
      <c r="D396" s="2" t="s">
        <v>33</v>
      </c>
      <c r="E396" s="2">
        <v>76.0</v>
      </c>
      <c r="F396" s="3">
        <v>45453.0</v>
      </c>
      <c r="G396" s="3">
        <v>45478.0</v>
      </c>
      <c r="H396" s="2">
        <v>5.0457314E7</v>
      </c>
      <c r="I396" s="2">
        <v>5.0914244E7</v>
      </c>
      <c r="J396" s="2" t="s">
        <v>20</v>
      </c>
      <c r="K396" s="2" t="s">
        <v>42</v>
      </c>
      <c r="L396" s="2">
        <v>46.0</v>
      </c>
      <c r="M396" s="2">
        <v>25.0</v>
      </c>
      <c r="N396" s="2">
        <v>663912.0</v>
      </c>
      <c r="O396" s="4">
        <v>45444.0</v>
      </c>
      <c r="P396" s="2" t="b">
        <v>1</v>
      </c>
      <c r="Q396" s="4">
        <f>IFERROR(__xludf.DUMMYFUNCTION("IF(ISDATE(O396),O396,L396)"),45444.0)</f>
        <v>45444</v>
      </c>
      <c r="R396" s="2">
        <v>46.0</v>
      </c>
      <c r="T396" s="4">
        <v>45444.0</v>
      </c>
    </row>
    <row r="397">
      <c r="A397" s="2" t="s">
        <v>499</v>
      </c>
      <c r="B397" s="2" t="s">
        <v>123</v>
      </c>
      <c r="C397" s="2" t="s">
        <v>64</v>
      </c>
      <c r="D397" s="2" t="s">
        <v>37</v>
      </c>
      <c r="E397" s="2">
        <v>302.0</v>
      </c>
      <c r="F397" s="3">
        <v>45653.0</v>
      </c>
      <c r="G397" s="2">
        <v>2.72514695E8</v>
      </c>
      <c r="H397" s="2" t="s">
        <v>41</v>
      </c>
      <c r="I397" s="2" t="s">
        <v>30</v>
      </c>
      <c r="J397" s="2">
        <v>157.0</v>
      </c>
      <c r="K397" s="2">
        <v>902367.0</v>
      </c>
      <c r="L397" s="6">
        <v>45627.0</v>
      </c>
      <c r="M397" s="2" t="b">
        <v>0</v>
      </c>
      <c r="Q397" s="6">
        <f>IFERROR(__xludf.DUMMYFUNCTION("IF(ISDATE(O397),O397,L397)"),45627.0)</f>
        <v>45627</v>
      </c>
      <c r="R397" s="2">
        <v>157.0</v>
      </c>
      <c r="T397" s="6">
        <v>45627.0</v>
      </c>
    </row>
    <row r="398">
      <c r="A398" s="2" t="s">
        <v>500</v>
      </c>
      <c r="B398" s="2" t="s">
        <v>145</v>
      </c>
      <c r="C398" s="2" t="s">
        <v>28</v>
      </c>
      <c r="D398" s="2" t="s">
        <v>29</v>
      </c>
      <c r="E398" s="2">
        <v>2867.0</v>
      </c>
      <c r="F398" s="3">
        <v>45490.0</v>
      </c>
      <c r="G398" s="3">
        <v>45686.0</v>
      </c>
      <c r="H398" s="2">
        <v>1.071562545E9</v>
      </c>
      <c r="I398" s="2">
        <v>1.02355003E9</v>
      </c>
      <c r="J398" s="2" t="s">
        <v>20</v>
      </c>
      <c r="K398" s="2" t="s">
        <v>42</v>
      </c>
      <c r="L398" s="2">
        <v>138.0</v>
      </c>
      <c r="M398" s="2">
        <v>196.0</v>
      </c>
      <c r="N398" s="2">
        <v>373757.0</v>
      </c>
      <c r="O398" s="4">
        <v>45474.0</v>
      </c>
      <c r="P398" s="2" t="b">
        <v>1</v>
      </c>
      <c r="Q398" s="4">
        <f>IFERROR(__xludf.DUMMYFUNCTION("IF(ISDATE(O398),O398,L398)"),45474.0)</f>
        <v>45474</v>
      </c>
      <c r="R398" s="2">
        <v>138.0</v>
      </c>
      <c r="T398" s="4">
        <v>45474.0</v>
      </c>
    </row>
    <row r="399">
      <c r="A399" s="2" t="s">
        <v>501</v>
      </c>
      <c r="B399" s="2" t="s">
        <v>52</v>
      </c>
      <c r="C399" s="2" t="s">
        <v>28</v>
      </c>
      <c r="D399" s="2" t="s">
        <v>58</v>
      </c>
      <c r="E399" s="2">
        <v>90.0</v>
      </c>
      <c r="F399" s="3">
        <v>45476.0</v>
      </c>
      <c r="G399" s="3">
        <v>45580.0</v>
      </c>
      <c r="H399" s="2">
        <v>7.8973027E7</v>
      </c>
      <c r="I399" s="2">
        <v>7.5351056E7</v>
      </c>
      <c r="J399" s="2" t="s">
        <v>20</v>
      </c>
      <c r="K399" s="2" t="s">
        <v>30</v>
      </c>
      <c r="L399" s="2">
        <v>89.0</v>
      </c>
      <c r="M399" s="2">
        <v>104.0</v>
      </c>
      <c r="N399" s="2">
        <v>877478.0</v>
      </c>
      <c r="O399" s="4">
        <v>45474.0</v>
      </c>
      <c r="P399" s="2" t="b">
        <v>1</v>
      </c>
      <c r="Q399" s="4">
        <f>IFERROR(__xludf.DUMMYFUNCTION("IF(ISDATE(O399),O399,L399)"),45474.0)</f>
        <v>45474</v>
      </c>
      <c r="R399" s="2">
        <v>89.0</v>
      </c>
      <c r="T399" s="4">
        <v>45474.0</v>
      </c>
    </row>
    <row r="400">
      <c r="A400" s="2" t="s">
        <v>502</v>
      </c>
      <c r="B400" s="2" t="s">
        <v>66</v>
      </c>
      <c r="C400" s="2" t="s">
        <v>24</v>
      </c>
      <c r="D400" s="2" t="s">
        <v>72</v>
      </c>
      <c r="E400" s="2">
        <v>338.0</v>
      </c>
      <c r="F400" s="3">
        <v>45501.0</v>
      </c>
      <c r="G400" s="2">
        <v>3.37533603E8</v>
      </c>
      <c r="H400" s="2" t="s">
        <v>34</v>
      </c>
      <c r="I400" s="2" t="s">
        <v>30</v>
      </c>
      <c r="J400" s="2">
        <v>119.0</v>
      </c>
      <c r="K400" s="2">
        <v>998620.0</v>
      </c>
      <c r="L400" s="4">
        <v>45474.0</v>
      </c>
      <c r="M400" s="2" t="b">
        <v>0</v>
      </c>
      <c r="Q400" s="4">
        <f>IFERROR(__xludf.DUMMYFUNCTION("IF(ISDATE(O400),O400,L400)"),45474.0)</f>
        <v>45474</v>
      </c>
      <c r="R400" s="2">
        <v>119.0</v>
      </c>
      <c r="T400" s="4">
        <v>45474.0</v>
      </c>
    </row>
    <row r="401">
      <c r="A401" s="2" t="s">
        <v>503</v>
      </c>
      <c r="B401" s="2" t="s">
        <v>78</v>
      </c>
      <c r="C401" s="2" t="s">
        <v>28</v>
      </c>
      <c r="D401" s="2" t="s">
        <v>29</v>
      </c>
      <c r="E401" s="2">
        <v>2397.0</v>
      </c>
      <c r="F401" s="3">
        <v>45833.0</v>
      </c>
      <c r="G401" s="3">
        <v>45877.0</v>
      </c>
      <c r="H401" s="2">
        <v>9.20841151E8</v>
      </c>
      <c r="I401" s="2">
        <v>9.26769498E8</v>
      </c>
      <c r="J401" s="2" t="s">
        <v>20</v>
      </c>
      <c r="K401" s="2" t="s">
        <v>30</v>
      </c>
      <c r="L401" s="2">
        <v>11.0</v>
      </c>
      <c r="M401" s="2">
        <v>44.0</v>
      </c>
      <c r="N401" s="2">
        <v>384164.0</v>
      </c>
      <c r="O401" s="4">
        <v>45809.0</v>
      </c>
      <c r="P401" s="2" t="b">
        <v>1</v>
      </c>
      <c r="Q401" s="4">
        <f>IFERROR(__xludf.DUMMYFUNCTION("IF(ISDATE(O401),O401,L401)"),45809.0)</f>
        <v>45809</v>
      </c>
      <c r="R401" s="2">
        <v>11.0</v>
      </c>
      <c r="T401" s="4">
        <v>45809.0</v>
      </c>
    </row>
    <row r="402">
      <c r="A402" s="2" t="s">
        <v>504</v>
      </c>
      <c r="B402" s="2" t="s">
        <v>66</v>
      </c>
      <c r="C402" s="2" t="s">
        <v>93</v>
      </c>
      <c r="D402" s="2" t="s">
        <v>67</v>
      </c>
      <c r="E402" s="2">
        <v>41.0</v>
      </c>
      <c r="F402" s="3">
        <v>45425.0</v>
      </c>
      <c r="G402" s="3">
        <v>45606.0</v>
      </c>
      <c r="H402" s="2">
        <v>7981512.0</v>
      </c>
      <c r="I402" s="2">
        <v>7999256.0</v>
      </c>
      <c r="J402" s="2" t="s">
        <v>20</v>
      </c>
      <c r="K402" s="2" t="s">
        <v>21</v>
      </c>
      <c r="L402" s="2">
        <v>47.0</v>
      </c>
      <c r="M402" s="2">
        <v>181.0</v>
      </c>
      <c r="N402" s="2">
        <v>194671.0</v>
      </c>
      <c r="O402" s="4">
        <v>45413.0</v>
      </c>
      <c r="P402" s="2" t="b">
        <v>1</v>
      </c>
      <c r="Q402" s="4">
        <f>IFERROR(__xludf.DUMMYFUNCTION("IF(ISDATE(O402),O402,L402)"),45413.0)</f>
        <v>45413</v>
      </c>
      <c r="R402" s="2">
        <v>47.0</v>
      </c>
      <c r="T402" s="4">
        <v>45413.0</v>
      </c>
    </row>
    <row r="403">
      <c r="A403" s="2" t="s">
        <v>505</v>
      </c>
      <c r="B403" s="2" t="s">
        <v>78</v>
      </c>
      <c r="C403" s="2" t="s">
        <v>101</v>
      </c>
      <c r="D403" s="2" t="s">
        <v>58</v>
      </c>
      <c r="E403" s="2">
        <v>186.0</v>
      </c>
      <c r="F403" s="3">
        <v>44994.0</v>
      </c>
      <c r="G403" s="3">
        <v>45170.0</v>
      </c>
      <c r="H403" s="2">
        <v>6.4049392E7</v>
      </c>
      <c r="I403" s="2">
        <v>6.7789372E7</v>
      </c>
      <c r="J403" s="2" t="s">
        <v>20</v>
      </c>
      <c r="K403" s="2" t="s">
        <v>73</v>
      </c>
      <c r="L403" s="2">
        <v>31.0</v>
      </c>
      <c r="M403" s="2">
        <v>176.0</v>
      </c>
      <c r="N403" s="2">
        <v>344352.0</v>
      </c>
      <c r="O403" s="4">
        <v>44986.0</v>
      </c>
      <c r="P403" s="2" t="b">
        <v>1</v>
      </c>
      <c r="Q403" s="4">
        <f>IFERROR(__xludf.DUMMYFUNCTION("IF(ISDATE(O403),O403,L403)"),44986.0)</f>
        <v>44986</v>
      </c>
      <c r="R403" s="2">
        <v>31.0</v>
      </c>
      <c r="T403" s="4">
        <v>44986.0</v>
      </c>
    </row>
    <row r="404">
      <c r="A404" s="2" t="s">
        <v>506</v>
      </c>
      <c r="B404" s="2" t="s">
        <v>56</v>
      </c>
      <c r="C404" s="2" t="s">
        <v>28</v>
      </c>
      <c r="D404" s="2" t="s">
        <v>49</v>
      </c>
      <c r="E404" s="2">
        <v>215.0</v>
      </c>
      <c r="F404" s="3">
        <v>45629.0</v>
      </c>
      <c r="G404" s="3">
        <v>45761.0</v>
      </c>
      <c r="H404" s="2">
        <v>2.908368E8</v>
      </c>
      <c r="I404" s="2">
        <v>2.69332853E8</v>
      </c>
      <c r="J404" s="2" t="s">
        <v>20</v>
      </c>
      <c r="K404" s="2" t="s">
        <v>21</v>
      </c>
      <c r="L404" s="2">
        <v>18.0</v>
      </c>
      <c r="M404" s="2">
        <v>132.0</v>
      </c>
      <c r="N404" s="2">
        <v>1352729.0</v>
      </c>
      <c r="O404" s="6">
        <v>45627.0</v>
      </c>
      <c r="P404" s="2" t="b">
        <v>1</v>
      </c>
      <c r="Q404" s="6">
        <f>IFERROR(__xludf.DUMMYFUNCTION("IF(ISDATE(O404),O404,L404)"),45627.0)</f>
        <v>45627</v>
      </c>
      <c r="R404" s="2">
        <v>18.0</v>
      </c>
      <c r="T404" s="6">
        <v>45627.0</v>
      </c>
    </row>
    <row r="405">
      <c r="A405" s="2" t="s">
        <v>507</v>
      </c>
      <c r="B405" s="2" t="s">
        <v>86</v>
      </c>
      <c r="C405" s="2" t="s">
        <v>28</v>
      </c>
      <c r="D405" s="2" t="s">
        <v>37</v>
      </c>
      <c r="E405" s="2">
        <v>585.0</v>
      </c>
      <c r="F405" s="3">
        <v>45768.0</v>
      </c>
      <c r="G405" s="3">
        <v>45849.0</v>
      </c>
      <c r="H405" s="2">
        <v>1.108229451E9</v>
      </c>
      <c r="I405" s="2">
        <v>1.099563214E9</v>
      </c>
      <c r="J405" s="2" t="s">
        <v>20</v>
      </c>
      <c r="K405" s="2" t="s">
        <v>73</v>
      </c>
      <c r="L405" s="2">
        <v>115.0</v>
      </c>
      <c r="M405" s="2">
        <v>81.0</v>
      </c>
      <c r="N405" s="2">
        <v>1894409.0</v>
      </c>
      <c r="O405" s="4">
        <v>45748.0</v>
      </c>
      <c r="P405" s="2" t="b">
        <v>1</v>
      </c>
      <c r="Q405" s="4">
        <f>IFERROR(__xludf.DUMMYFUNCTION("IF(ISDATE(O405),O405,L405)"),45748.0)</f>
        <v>45748</v>
      </c>
      <c r="R405" s="2">
        <v>115.0</v>
      </c>
      <c r="T405" s="4">
        <v>45748.0</v>
      </c>
    </row>
    <row r="406">
      <c r="A406" s="2" t="s">
        <v>508</v>
      </c>
      <c r="B406" s="2" t="s">
        <v>86</v>
      </c>
      <c r="C406" s="2" t="s">
        <v>24</v>
      </c>
      <c r="D406" s="2" t="s">
        <v>49</v>
      </c>
      <c r="E406" s="2">
        <v>222.0</v>
      </c>
      <c r="F406" s="3">
        <v>44933.0</v>
      </c>
      <c r="G406" s="3">
        <v>45106.0</v>
      </c>
      <c r="H406" s="2">
        <v>1.76827103E8</v>
      </c>
      <c r="I406" s="2">
        <v>1.83785632E8</v>
      </c>
      <c r="J406" s="2" t="s">
        <v>20</v>
      </c>
      <c r="K406" s="2" t="s">
        <v>21</v>
      </c>
      <c r="L406" s="2">
        <v>23.0</v>
      </c>
      <c r="M406" s="2">
        <v>173.0</v>
      </c>
      <c r="N406" s="2">
        <v>796518.0</v>
      </c>
      <c r="O406" s="4">
        <v>44927.0</v>
      </c>
      <c r="P406" s="2" t="b">
        <v>1</v>
      </c>
      <c r="Q406" s="4">
        <f>IFERROR(__xludf.DUMMYFUNCTION("IF(ISDATE(O406),O406,L406)"),44927.0)</f>
        <v>44927</v>
      </c>
      <c r="R406" s="2">
        <v>23.0</v>
      </c>
      <c r="T406" s="4">
        <v>44927.0</v>
      </c>
    </row>
    <row r="407">
      <c r="A407" s="2" t="s">
        <v>509</v>
      </c>
      <c r="B407" s="2" t="s">
        <v>220</v>
      </c>
      <c r="C407" s="2" t="s">
        <v>24</v>
      </c>
      <c r="D407" s="2" t="s">
        <v>58</v>
      </c>
      <c r="E407" s="2">
        <v>77.0</v>
      </c>
      <c r="F407" s="3">
        <v>45235.0</v>
      </c>
      <c r="G407" s="3">
        <v>45322.0</v>
      </c>
      <c r="H407" s="2">
        <v>6.3649619E7</v>
      </c>
      <c r="I407" s="2">
        <v>6.3014916E7</v>
      </c>
      <c r="J407" s="2" t="s">
        <v>20</v>
      </c>
      <c r="K407" s="2" t="s">
        <v>73</v>
      </c>
      <c r="L407" s="2">
        <v>174.0</v>
      </c>
      <c r="M407" s="2">
        <v>87.0</v>
      </c>
      <c r="N407" s="2">
        <v>826618.0</v>
      </c>
      <c r="O407" s="6">
        <v>45231.0</v>
      </c>
      <c r="P407" s="2" t="b">
        <v>1</v>
      </c>
      <c r="Q407" s="6">
        <f>IFERROR(__xludf.DUMMYFUNCTION("IF(ISDATE(O407),O407,L407)"),45231.0)</f>
        <v>45231</v>
      </c>
      <c r="R407" s="2">
        <v>174.0</v>
      </c>
      <c r="T407" s="6">
        <v>45231.0</v>
      </c>
    </row>
    <row r="408">
      <c r="A408" s="2" t="s">
        <v>510</v>
      </c>
      <c r="B408" s="2" t="s">
        <v>23</v>
      </c>
      <c r="C408" s="2" t="s">
        <v>28</v>
      </c>
      <c r="D408" s="2" t="s">
        <v>102</v>
      </c>
      <c r="E408" s="2">
        <v>168.0</v>
      </c>
      <c r="F408" s="3">
        <v>45691.0</v>
      </c>
      <c r="G408" s="3">
        <v>45845.0</v>
      </c>
      <c r="H408" s="2">
        <v>1.72786462E8</v>
      </c>
      <c r="I408" s="2">
        <v>1.76492266E8</v>
      </c>
      <c r="J408" s="2" t="s">
        <v>20</v>
      </c>
      <c r="K408" s="2" t="s">
        <v>30</v>
      </c>
      <c r="L408" s="2">
        <v>178.0</v>
      </c>
      <c r="M408" s="2">
        <v>154.0</v>
      </c>
      <c r="N408" s="2">
        <v>1028491.0</v>
      </c>
      <c r="O408" s="4">
        <v>45689.0</v>
      </c>
      <c r="P408" s="2" t="b">
        <v>1</v>
      </c>
      <c r="Q408" s="4">
        <f>IFERROR(__xludf.DUMMYFUNCTION("IF(ISDATE(O408),O408,L408)"),45689.0)</f>
        <v>45689</v>
      </c>
      <c r="R408" s="2">
        <v>178.0</v>
      </c>
      <c r="T408" s="4">
        <v>45689.0</v>
      </c>
    </row>
    <row r="409">
      <c r="A409" s="2" t="s">
        <v>511</v>
      </c>
      <c r="B409" s="2" t="s">
        <v>275</v>
      </c>
      <c r="C409" s="2" t="s">
        <v>40</v>
      </c>
      <c r="D409" s="2" t="s">
        <v>67</v>
      </c>
      <c r="E409" s="2">
        <v>25.0</v>
      </c>
      <c r="F409" s="3">
        <v>45071.0</v>
      </c>
      <c r="G409" s="3">
        <v>45087.0</v>
      </c>
      <c r="H409" s="2">
        <v>4721007.0</v>
      </c>
      <c r="I409" s="2">
        <v>4641000.0</v>
      </c>
      <c r="J409" s="2" t="s">
        <v>20</v>
      </c>
      <c r="K409" s="2" t="s">
        <v>25</v>
      </c>
      <c r="L409" s="2">
        <v>26.0</v>
      </c>
      <c r="M409" s="2">
        <v>16.0</v>
      </c>
      <c r="N409" s="2">
        <v>188840.0</v>
      </c>
      <c r="O409" s="4">
        <v>45047.0</v>
      </c>
      <c r="P409" s="2" t="b">
        <v>1</v>
      </c>
      <c r="Q409" s="4">
        <f>IFERROR(__xludf.DUMMYFUNCTION("IF(ISDATE(O409),O409,L409)"),45047.0)</f>
        <v>45047</v>
      </c>
      <c r="R409" s="2">
        <v>26.0</v>
      </c>
      <c r="T409" s="4">
        <v>45047.0</v>
      </c>
    </row>
    <row r="410">
      <c r="A410" s="2" t="s">
        <v>512</v>
      </c>
      <c r="B410" s="2" t="s">
        <v>113</v>
      </c>
      <c r="C410" s="2" t="s">
        <v>24</v>
      </c>
      <c r="D410" s="2" t="s">
        <v>67</v>
      </c>
      <c r="E410" s="2">
        <v>31.0</v>
      </c>
      <c r="F410" s="3">
        <v>45798.0</v>
      </c>
      <c r="G410" s="3">
        <v>45854.0</v>
      </c>
      <c r="H410" s="2">
        <v>1.3027336E7</v>
      </c>
      <c r="I410" s="2">
        <v>1.3270967E7</v>
      </c>
      <c r="J410" s="2" t="s">
        <v>20</v>
      </c>
      <c r="K410" s="2" t="s">
        <v>30</v>
      </c>
      <c r="L410" s="2">
        <v>54.0</v>
      </c>
      <c r="M410" s="2">
        <v>56.0</v>
      </c>
      <c r="N410" s="2">
        <v>420237.0</v>
      </c>
      <c r="O410" s="4">
        <v>45778.0</v>
      </c>
      <c r="P410" s="2" t="b">
        <v>1</v>
      </c>
      <c r="Q410" s="4">
        <f>IFERROR(__xludf.DUMMYFUNCTION("IF(ISDATE(O410),O410,L410)"),45778.0)</f>
        <v>45778</v>
      </c>
      <c r="R410" s="2">
        <v>54.0</v>
      </c>
      <c r="T410" s="4">
        <v>45778.0</v>
      </c>
    </row>
    <row r="411">
      <c r="A411" s="2" t="s">
        <v>513</v>
      </c>
      <c r="B411" s="2" t="s">
        <v>66</v>
      </c>
      <c r="C411" s="2" t="s">
        <v>28</v>
      </c>
      <c r="D411" s="2" t="s">
        <v>29</v>
      </c>
      <c r="E411" s="2">
        <v>845.0</v>
      </c>
      <c r="F411" s="3">
        <v>45587.0</v>
      </c>
      <c r="G411" s="3">
        <v>45676.0</v>
      </c>
      <c r="H411" s="2">
        <v>3.61569452E8</v>
      </c>
      <c r="I411" s="2">
        <v>3.47146453E8</v>
      </c>
      <c r="J411" s="2" t="s">
        <v>20</v>
      </c>
      <c r="K411" s="2" t="s">
        <v>42</v>
      </c>
      <c r="L411" s="2">
        <v>153.0</v>
      </c>
      <c r="M411" s="2">
        <v>89.0</v>
      </c>
      <c r="N411" s="2">
        <v>427893.0</v>
      </c>
      <c r="O411" s="6">
        <v>45566.0</v>
      </c>
      <c r="P411" s="2" t="b">
        <v>1</v>
      </c>
      <c r="Q411" s="6">
        <f>IFERROR(__xludf.DUMMYFUNCTION("IF(ISDATE(O411),O411,L411)"),45566.0)</f>
        <v>45566</v>
      </c>
      <c r="R411" s="2">
        <v>153.0</v>
      </c>
      <c r="T411" s="6">
        <v>45566.0</v>
      </c>
    </row>
    <row r="412">
      <c r="A412" s="2" t="s">
        <v>514</v>
      </c>
      <c r="B412" s="2" t="s">
        <v>71</v>
      </c>
      <c r="C412" s="2" t="s">
        <v>64</v>
      </c>
      <c r="D412" s="2" t="s">
        <v>67</v>
      </c>
      <c r="E412" s="2">
        <v>36.0</v>
      </c>
      <c r="F412" s="3">
        <v>45598.0</v>
      </c>
      <c r="G412" s="3">
        <v>45685.0</v>
      </c>
      <c r="H412" s="2">
        <v>1.2449123E7</v>
      </c>
      <c r="I412" s="2">
        <v>1.3246103E7</v>
      </c>
      <c r="J412" s="2" t="s">
        <v>20</v>
      </c>
      <c r="K412" s="2" t="s">
        <v>30</v>
      </c>
      <c r="L412" s="2">
        <v>129.0</v>
      </c>
      <c r="M412" s="2">
        <v>87.0</v>
      </c>
      <c r="N412" s="2">
        <v>345809.0</v>
      </c>
      <c r="O412" s="6">
        <v>45597.0</v>
      </c>
      <c r="P412" s="2" t="b">
        <v>1</v>
      </c>
      <c r="Q412" s="6">
        <f>IFERROR(__xludf.DUMMYFUNCTION("IF(ISDATE(O412),O412,L412)"),45597.0)</f>
        <v>45597</v>
      </c>
      <c r="R412" s="2">
        <v>129.0</v>
      </c>
      <c r="T412" s="6">
        <v>45597.0</v>
      </c>
    </row>
    <row r="413">
      <c r="A413" s="2" t="s">
        <v>515</v>
      </c>
      <c r="B413" s="2" t="s">
        <v>135</v>
      </c>
      <c r="C413" s="2" t="s">
        <v>64</v>
      </c>
      <c r="D413" s="2" t="s">
        <v>29</v>
      </c>
      <c r="E413" s="2">
        <v>2904.0</v>
      </c>
      <c r="F413" s="3">
        <v>45506.0</v>
      </c>
      <c r="G413" s="3">
        <v>45601.0</v>
      </c>
      <c r="H413" s="2">
        <v>7.25350586E8</v>
      </c>
      <c r="I413" s="2">
        <v>6.86894182E8</v>
      </c>
      <c r="J413" s="2" t="s">
        <v>20</v>
      </c>
      <c r="K413" s="2" t="s">
        <v>30</v>
      </c>
      <c r="L413" s="2">
        <v>68.0</v>
      </c>
      <c r="M413" s="2">
        <v>95.0</v>
      </c>
      <c r="N413" s="2">
        <v>249776.0</v>
      </c>
      <c r="O413" s="4">
        <v>45505.0</v>
      </c>
      <c r="P413" s="2" t="b">
        <v>1</v>
      </c>
      <c r="Q413" s="4">
        <f>IFERROR(__xludf.DUMMYFUNCTION("IF(ISDATE(O413),O413,L413)"),45505.0)</f>
        <v>45505</v>
      </c>
      <c r="R413" s="2">
        <v>68.0</v>
      </c>
      <c r="T413" s="4">
        <v>45505.0</v>
      </c>
    </row>
    <row r="414">
      <c r="A414" s="2" t="s">
        <v>516</v>
      </c>
      <c r="B414" s="2" t="s">
        <v>88</v>
      </c>
      <c r="C414" s="2" t="s">
        <v>57</v>
      </c>
      <c r="D414" s="2" t="s">
        <v>49</v>
      </c>
      <c r="E414" s="2">
        <v>120.0</v>
      </c>
      <c r="F414" s="3">
        <v>45622.0</v>
      </c>
      <c r="G414" s="2">
        <v>5.5649091E7</v>
      </c>
      <c r="H414" s="2" t="s">
        <v>69</v>
      </c>
      <c r="I414" s="2" t="s">
        <v>30</v>
      </c>
      <c r="J414" s="2">
        <v>83.0</v>
      </c>
      <c r="K414" s="2">
        <v>463742.0</v>
      </c>
      <c r="L414" s="6">
        <v>45597.0</v>
      </c>
      <c r="M414" s="2" t="b">
        <v>0</v>
      </c>
      <c r="Q414" s="6">
        <f>IFERROR(__xludf.DUMMYFUNCTION("IF(ISDATE(O414),O414,L414)"),45597.0)</f>
        <v>45597</v>
      </c>
      <c r="R414" s="2">
        <v>83.0</v>
      </c>
      <c r="T414" s="6">
        <v>45597.0</v>
      </c>
    </row>
    <row r="415">
      <c r="A415" s="2" t="s">
        <v>517</v>
      </c>
      <c r="B415" s="2" t="s">
        <v>204</v>
      </c>
      <c r="C415" s="2" t="s">
        <v>64</v>
      </c>
      <c r="D415" s="2" t="s">
        <v>33</v>
      </c>
      <c r="E415" s="2">
        <v>76.0</v>
      </c>
      <c r="F415" s="3">
        <v>45788.0</v>
      </c>
      <c r="G415" s="3">
        <v>45838.0</v>
      </c>
      <c r="H415" s="2">
        <v>4.1262943E7</v>
      </c>
      <c r="I415" s="2">
        <v>3.9258765E7</v>
      </c>
      <c r="J415" s="2" t="s">
        <v>20</v>
      </c>
      <c r="K415" s="2" t="s">
        <v>21</v>
      </c>
      <c r="L415" s="2">
        <v>24.0</v>
      </c>
      <c r="M415" s="2">
        <v>50.0</v>
      </c>
      <c r="N415" s="2">
        <v>542933.0</v>
      </c>
      <c r="O415" s="4">
        <v>45778.0</v>
      </c>
      <c r="P415" s="2" t="b">
        <v>1</v>
      </c>
      <c r="Q415" s="4">
        <f>IFERROR(__xludf.DUMMYFUNCTION("IF(ISDATE(O415),O415,L415)"),45778.0)</f>
        <v>45778</v>
      </c>
      <c r="R415" s="2">
        <v>24.0</v>
      </c>
      <c r="T415" s="4">
        <v>45778.0</v>
      </c>
    </row>
    <row r="416">
      <c r="A416" s="2" t="s">
        <v>518</v>
      </c>
      <c r="B416" s="2" t="s">
        <v>121</v>
      </c>
      <c r="C416" s="2" t="s">
        <v>40</v>
      </c>
      <c r="D416" s="2" t="s">
        <v>58</v>
      </c>
      <c r="E416" s="2">
        <v>211.0</v>
      </c>
      <c r="F416" s="3">
        <v>45519.0</v>
      </c>
      <c r="G416" s="3">
        <v>45685.0</v>
      </c>
      <c r="H416" s="2">
        <v>5.4259425E7</v>
      </c>
      <c r="I416" s="2">
        <v>5.0236903E7</v>
      </c>
      <c r="J416" s="2" t="s">
        <v>20</v>
      </c>
      <c r="K416" s="2" t="s">
        <v>30</v>
      </c>
      <c r="L416" s="2">
        <v>144.0</v>
      </c>
      <c r="M416" s="2">
        <v>166.0</v>
      </c>
      <c r="N416" s="2">
        <v>257154.0</v>
      </c>
      <c r="O416" s="4">
        <v>45505.0</v>
      </c>
      <c r="P416" s="2" t="b">
        <v>1</v>
      </c>
      <c r="Q416" s="4">
        <f>IFERROR(__xludf.DUMMYFUNCTION("IF(ISDATE(O416),O416,L416)"),45505.0)</f>
        <v>45505</v>
      </c>
      <c r="R416" s="2">
        <v>144.0</v>
      </c>
      <c r="T416" s="4">
        <v>45505.0</v>
      </c>
    </row>
    <row r="417">
      <c r="A417" s="2" t="s">
        <v>519</v>
      </c>
      <c r="B417" s="2" t="s">
        <v>160</v>
      </c>
      <c r="C417" s="2" t="s">
        <v>40</v>
      </c>
      <c r="D417" s="2" t="s">
        <v>58</v>
      </c>
      <c r="E417" s="2">
        <v>170.0</v>
      </c>
      <c r="F417" s="3">
        <v>45328.0</v>
      </c>
      <c r="G417" s="3">
        <v>45493.0</v>
      </c>
      <c r="H417" s="2">
        <v>5.3448841E7</v>
      </c>
      <c r="I417" s="2">
        <v>5.1661504E7</v>
      </c>
      <c r="J417" s="2" t="s">
        <v>20</v>
      </c>
      <c r="K417" s="2" t="s">
        <v>73</v>
      </c>
      <c r="L417" s="2">
        <v>133.0</v>
      </c>
      <c r="M417" s="2">
        <v>165.0</v>
      </c>
      <c r="N417" s="2">
        <v>314405.0</v>
      </c>
      <c r="O417" s="4">
        <v>45323.0</v>
      </c>
      <c r="P417" s="2" t="b">
        <v>1</v>
      </c>
      <c r="Q417" s="4">
        <f>IFERROR(__xludf.DUMMYFUNCTION("IF(ISDATE(O417),O417,L417)"),45323.0)</f>
        <v>45323</v>
      </c>
      <c r="R417" s="2">
        <v>133.0</v>
      </c>
      <c r="T417" s="4">
        <v>45323.0</v>
      </c>
    </row>
    <row r="418">
      <c r="A418" s="2" t="s">
        <v>520</v>
      </c>
      <c r="B418" s="2" t="s">
        <v>60</v>
      </c>
      <c r="C418" s="2" t="s">
        <v>64</v>
      </c>
      <c r="D418" s="2" t="s">
        <v>49</v>
      </c>
      <c r="E418" s="2">
        <v>143.0</v>
      </c>
      <c r="F418" s="3">
        <v>45605.0</v>
      </c>
      <c r="G418" s="3">
        <v>45777.0</v>
      </c>
      <c r="H418" s="2">
        <v>1.01230949E8</v>
      </c>
      <c r="I418" s="2">
        <v>1.05396903E8</v>
      </c>
      <c r="J418" s="2" t="s">
        <v>20</v>
      </c>
      <c r="K418" s="2" t="s">
        <v>42</v>
      </c>
      <c r="L418" s="2">
        <v>119.0</v>
      </c>
      <c r="M418" s="2">
        <v>172.0</v>
      </c>
      <c r="N418" s="2">
        <v>707909.0</v>
      </c>
      <c r="O418" s="6">
        <v>45597.0</v>
      </c>
      <c r="P418" s="2" t="b">
        <v>1</v>
      </c>
      <c r="Q418" s="6">
        <f>IFERROR(__xludf.DUMMYFUNCTION("IF(ISDATE(O418),O418,L418)"),45597.0)</f>
        <v>45597</v>
      </c>
      <c r="R418" s="2">
        <v>119.0</v>
      </c>
      <c r="T418" s="6">
        <v>45597.0</v>
      </c>
    </row>
    <row r="419">
      <c r="A419" s="2" t="s">
        <v>521</v>
      </c>
      <c r="B419" s="2" t="s">
        <v>95</v>
      </c>
      <c r="C419" s="2" t="s">
        <v>28</v>
      </c>
      <c r="D419" s="2" t="s">
        <v>29</v>
      </c>
      <c r="E419" s="2">
        <v>1597.0</v>
      </c>
      <c r="F419" s="3">
        <v>44968.0</v>
      </c>
      <c r="G419" s="3">
        <v>45107.0</v>
      </c>
      <c r="H419" s="2">
        <v>5.75850629E8</v>
      </c>
      <c r="I419" s="2">
        <v>5.54139412E8</v>
      </c>
      <c r="J419" s="2" t="s">
        <v>20</v>
      </c>
      <c r="K419" s="2" t="s">
        <v>42</v>
      </c>
      <c r="L419" s="2">
        <v>15.0</v>
      </c>
      <c r="M419" s="2">
        <v>139.0</v>
      </c>
      <c r="N419" s="2">
        <v>360583.0</v>
      </c>
      <c r="O419" s="4">
        <v>44958.0</v>
      </c>
      <c r="P419" s="2" t="b">
        <v>1</v>
      </c>
      <c r="Q419" s="4">
        <f>IFERROR(__xludf.DUMMYFUNCTION("IF(ISDATE(O419),O419,L419)"),44958.0)</f>
        <v>44958</v>
      </c>
      <c r="R419" s="2">
        <v>15.0</v>
      </c>
      <c r="T419" s="4">
        <v>44958.0</v>
      </c>
    </row>
    <row r="420">
      <c r="A420" s="2" t="s">
        <v>522</v>
      </c>
      <c r="B420" s="2" t="s">
        <v>123</v>
      </c>
      <c r="C420" s="2" t="s">
        <v>18</v>
      </c>
      <c r="D420" s="2" t="s">
        <v>58</v>
      </c>
      <c r="E420" s="2">
        <v>282.0</v>
      </c>
      <c r="F420" s="3">
        <v>45407.0</v>
      </c>
      <c r="G420" s="2">
        <v>7.5213985E7</v>
      </c>
      <c r="H420" s="2" t="s">
        <v>41</v>
      </c>
      <c r="I420" s="2" t="s">
        <v>30</v>
      </c>
      <c r="J420" s="2">
        <v>31.0</v>
      </c>
      <c r="K420" s="2">
        <v>266716.0</v>
      </c>
      <c r="L420" s="4">
        <v>45383.0</v>
      </c>
      <c r="M420" s="2" t="b">
        <v>0</v>
      </c>
      <c r="Q420" s="4">
        <f>IFERROR(__xludf.DUMMYFUNCTION("IF(ISDATE(O420),O420,L420)"),45383.0)</f>
        <v>45383</v>
      </c>
      <c r="R420" s="2">
        <v>31.0</v>
      </c>
      <c r="T420" s="4">
        <v>45383.0</v>
      </c>
    </row>
    <row r="421">
      <c r="A421" s="2" t="s">
        <v>523</v>
      </c>
      <c r="B421" s="2" t="s">
        <v>220</v>
      </c>
      <c r="C421" s="2" t="s">
        <v>18</v>
      </c>
      <c r="D421" s="2" t="s">
        <v>58</v>
      </c>
      <c r="E421" s="2">
        <v>212.0</v>
      </c>
      <c r="F421" s="3">
        <v>45196.0</v>
      </c>
      <c r="G421" s="3">
        <v>45356.0</v>
      </c>
      <c r="H421" s="2">
        <v>6.0042279E7</v>
      </c>
      <c r="I421" s="2">
        <v>6.1518601E7</v>
      </c>
      <c r="J421" s="2" t="s">
        <v>20</v>
      </c>
      <c r="K421" s="2" t="s">
        <v>30</v>
      </c>
      <c r="L421" s="2">
        <v>155.0</v>
      </c>
      <c r="M421" s="2">
        <v>160.0</v>
      </c>
      <c r="N421" s="2">
        <v>283218.0</v>
      </c>
      <c r="O421" s="4">
        <v>45170.0</v>
      </c>
      <c r="P421" s="2" t="b">
        <v>1</v>
      </c>
      <c r="Q421" s="4">
        <f>IFERROR(__xludf.DUMMYFUNCTION("IF(ISDATE(O421),O421,L421)"),45170.0)</f>
        <v>45170</v>
      </c>
      <c r="R421" s="2">
        <v>155.0</v>
      </c>
      <c r="T421" s="4">
        <v>45170.0</v>
      </c>
    </row>
    <row r="422">
      <c r="A422" s="2" t="s">
        <v>524</v>
      </c>
      <c r="B422" s="2" t="s">
        <v>39</v>
      </c>
      <c r="C422" s="2" t="s">
        <v>18</v>
      </c>
      <c r="D422" s="2" t="s">
        <v>33</v>
      </c>
      <c r="E422" s="2">
        <v>98.0</v>
      </c>
      <c r="F422" s="3">
        <v>45923.0</v>
      </c>
      <c r="G422" s="2">
        <v>2.7778524E7</v>
      </c>
      <c r="H422" s="2" t="s">
        <v>34</v>
      </c>
      <c r="I422" s="2" t="s">
        <v>30</v>
      </c>
      <c r="J422" s="2">
        <v>129.0</v>
      </c>
      <c r="K422" s="2">
        <v>283454.0</v>
      </c>
      <c r="L422" s="4">
        <v>45901.0</v>
      </c>
      <c r="M422" s="2" t="b">
        <v>0</v>
      </c>
      <c r="Q422" s="4">
        <f>IFERROR(__xludf.DUMMYFUNCTION("IF(ISDATE(O422),O422,L422)"),45901.0)</f>
        <v>45901</v>
      </c>
      <c r="R422" s="2">
        <v>129.0</v>
      </c>
      <c r="T422" s="4">
        <v>45901.0</v>
      </c>
    </row>
    <row r="423">
      <c r="A423" s="2" t="s">
        <v>525</v>
      </c>
      <c r="B423" s="2" t="s">
        <v>84</v>
      </c>
      <c r="C423" s="2" t="s">
        <v>57</v>
      </c>
      <c r="D423" s="2" t="s">
        <v>29</v>
      </c>
      <c r="E423" s="2">
        <v>454.0</v>
      </c>
      <c r="F423" s="3">
        <v>45377.0</v>
      </c>
      <c r="G423" s="3">
        <v>45411.0</v>
      </c>
      <c r="H423" s="2">
        <v>6.902506E7</v>
      </c>
      <c r="I423" s="2">
        <v>6.6604318E7</v>
      </c>
      <c r="J423" s="2" t="s">
        <v>20</v>
      </c>
      <c r="K423" s="2" t="s">
        <v>42</v>
      </c>
      <c r="L423" s="2">
        <v>52.0</v>
      </c>
      <c r="M423" s="2">
        <v>34.0</v>
      </c>
      <c r="N423" s="2">
        <v>152038.0</v>
      </c>
      <c r="O423" s="4">
        <v>45352.0</v>
      </c>
      <c r="P423" s="2" t="b">
        <v>1</v>
      </c>
      <c r="Q423" s="4">
        <f>IFERROR(__xludf.DUMMYFUNCTION("IF(ISDATE(O423),O423,L423)"),45352.0)</f>
        <v>45352</v>
      </c>
      <c r="R423" s="2">
        <v>52.0</v>
      </c>
      <c r="T423" s="4">
        <v>45352.0</v>
      </c>
    </row>
    <row r="424">
      <c r="A424" s="2" t="s">
        <v>526</v>
      </c>
      <c r="B424" s="2" t="s">
        <v>132</v>
      </c>
      <c r="C424" s="2" t="s">
        <v>28</v>
      </c>
      <c r="D424" s="2" t="s">
        <v>29</v>
      </c>
      <c r="E424" s="2">
        <v>1369.0</v>
      </c>
      <c r="F424" s="3">
        <v>45757.0</v>
      </c>
      <c r="G424" s="3">
        <v>45801.0</v>
      </c>
      <c r="H424" s="2">
        <v>5.45953157E8</v>
      </c>
      <c r="I424" s="2">
        <v>5.44102562E8</v>
      </c>
      <c r="J424" s="2" t="s">
        <v>20</v>
      </c>
      <c r="K424" s="2" t="s">
        <v>42</v>
      </c>
      <c r="L424" s="2">
        <v>156.0</v>
      </c>
      <c r="M424" s="2">
        <v>44.0</v>
      </c>
      <c r="N424" s="2">
        <v>398797.0</v>
      </c>
      <c r="O424" s="4">
        <v>45748.0</v>
      </c>
      <c r="P424" s="2" t="b">
        <v>1</v>
      </c>
      <c r="Q424" s="4">
        <f>IFERROR(__xludf.DUMMYFUNCTION("IF(ISDATE(O424),O424,L424)"),45748.0)</f>
        <v>45748</v>
      </c>
      <c r="R424" s="2">
        <v>156.0</v>
      </c>
      <c r="T424" s="4">
        <v>45748.0</v>
      </c>
    </row>
    <row r="425">
      <c r="A425" s="2" t="s">
        <v>527</v>
      </c>
      <c r="B425" s="2" t="s">
        <v>139</v>
      </c>
      <c r="C425" s="2" t="s">
        <v>28</v>
      </c>
      <c r="D425" s="2" t="s">
        <v>49</v>
      </c>
      <c r="E425" s="2">
        <v>55.0</v>
      </c>
      <c r="F425" s="3">
        <v>45057.0</v>
      </c>
      <c r="G425" s="3">
        <v>45113.0</v>
      </c>
      <c r="H425" s="2">
        <v>5.9159575E7</v>
      </c>
      <c r="I425" s="2">
        <v>5.9279245E7</v>
      </c>
      <c r="J425" s="2" t="s">
        <v>20</v>
      </c>
      <c r="K425" s="2" t="s">
        <v>25</v>
      </c>
      <c r="L425" s="2">
        <v>42.0</v>
      </c>
      <c r="M425" s="2">
        <v>56.0</v>
      </c>
      <c r="N425" s="2">
        <v>1075629.0</v>
      </c>
      <c r="O425" s="4">
        <v>45047.0</v>
      </c>
      <c r="P425" s="2" t="b">
        <v>1</v>
      </c>
      <c r="Q425" s="4">
        <f>IFERROR(__xludf.DUMMYFUNCTION("IF(ISDATE(O425),O425,L425)"),45047.0)</f>
        <v>45047</v>
      </c>
      <c r="R425" s="2">
        <v>42.0</v>
      </c>
      <c r="T425" s="4">
        <v>45047.0</v>
      </c>
    </row>
    <row r="426">
      <c r="A426" s="2" t="s">
        <v>528</v>
      </c>
      <c r="B426" s="2" t="s">
        <v>66</v>
      </c>
      <c r="C426" s="2" t="s">
        <v>28</v>
      </c>
      <c r="D426" s="2" t="s">
        <v>37</v>
      </c>
      <c r="E426" s="2">
        <v>392.0</v>
      </c>
      <c r="F426" s="3">
        <v>45540.0</v>
      </c>
      <c r="G426" s="2">
        <v>6.28543692E8</v>
      </c>
      <c r="H426" s="2" t="s">
        <v>34</v>
      </c>
      <c r="I426" s="2" t="s">
        <v>30</v>
      </c>
      <c r="J426" s="2">
        <v>26.0</v>
      </c>
      <c r="K426" s="2">
        <v>1603428.0</v>
      </c>
      <c r="L426" s="4">
        <v>45536.0</v>
      </c>
      <c r="M426" s="2" t="b">
        <v>0</v>
      </c>
      <c r="Q426" s="4">
        <f>IFERROR(__xludf.DUMMYFUNCTION("IF(ISDATE(O426),O426,L426)"),45536.0)</f>
        <v>45536</v>
      </c>
      <c r="R426" s="2">
        <v>26.0</v>
      </c>
      <c r="T426" s="4">
        <v>45536.0</v>
      </c>
    </row>
    <row r="427">
      <c r="A427" s="2" t="s">
        <v>529</v>
      </c>
      <c r="B427" s="2" t="s">
        <v>48</v>
      </c>
      <c r="C427" s="2" t="s">
        <v>28</v>
      </c>
      <c r="D427" s="2" t="s">
        <v>29</v>
      </c>
      <c r="E427" s="2">
        <v>4261.0</v>
      </c>
      <c r="F427" s="3">
        <v>45151.0</v>
      </c>
      <c r="G427" s="2">
        <v>1.478396376E9</v>
      </c>
      <c r="H427" s="2" t="s">
        <v>34</v>
      </c>
      <c r="I427" s="2" t="s">
        <v>25</v>
      </c>
      <c r="J427" s="2">
        <v>51.0</v>
      </c>
      <c r="K427" s="2">
        <v>346960.0</v>
      </c>
      <c r="L427" s="4">
        <v>45139.0</v>
      </c>
      <c r="M427" s="2" t="b">
        <v>0</v>
      </c>
      <c r="Q427" s="4">
        <f>IFERROR(__xludf.DUMMYFUNCTION("IF(ISDATE(O427),O427,L427)"),45139.0)</f>
        <v>45139</v>
      </c>
      <c r="R427" s="2">
        <v>51.0</v>
      </c>
      <c r="T427" s="4">
        <v>45139.0</v>
      </c>
    </row>
    <row r="428">
      <c r="A428" s="2" t="s">
        <v>530</v>
      </c>
      <c r="B428" s="2" t="s">
        <v>71</v>
      </c>
      <c r="C428" s="2" t="s">
        <v>64</v>
      </c>
      <c r="D428" s="2" t="s">
        <v>58</v>
      </c>
      <c r="E428" s="2">
        <v>117.0</v>
      </c>
      <c r="F428" s="3">
        <v>45629.0</v>
      </c>
      <c r="G428" s="3">
        <v>45760.0</v>
      </c>
      <c r="H428" s="2">
        <v>6.3047041E7</v>
      </c>
      <c r="I428" s="2">
        <v>5.8697732E7</v>
      </c>
      <c r="J428" s="2" t="s">
        <v>20</v>
      </c>
      <c r="K428" s="2" t="s">
        <v>73</v>
      </c>
      <c r="L428" s="2">
        <v>103.0</v>
      </c>
      <c r="M428" s="2">
        <v>131.0</v>
      </c>
      <c r="N428" s="2">
        <v>538864.0</v>
      </c>
      <c r="O428" s="6">
        <v>45627.0</v>
      </c>
      <c r="P428" s="2" t="b">
        <v>1</v>
      </c>
      <c r="Q428" s="6">
        <f>IFERROR(__xludf.DUMMYFUNCTION("IF(ISDATE(O428),O428,L428)"),45627.0)</f>
        <v>45627</v>
      </c>
      <c r="R428" s="2">
        <v>103.0</v>
      </c>
      <c r="T428" s="6">
        <v>45627.0</v>
      </c>
    </row>
    <row r="429">
      <c r="A429" s="2" t="s">
        <v>531</v>
      </c>
      <c r="B429" s="2" t="s">
        <v>275</v>
      </c>
      <c r="C429" s="2" t="s">
        <v>28</v>
      </c>
      <c r="D429" s="2" t="s">
        <v>19</v>
      </c>
      <c r="E429" s="2">
        <v>46.0</v>
      </c>
      <c r="F429" s="3">
        <v>45627.0</v>
      </c>
      <c r="G429" s="3">
        <v>45680.0</v>
      </c>
      <c r="H429" s="2">
        <v>3.6299413E7</v>
      </c>
      <c r="I429" s="2">
        <v>3.4425911E7</v>
      </c>
      <c r="J429" s="2" t="s">
        <v>20</v>
      </c>
      <c r="K429" s="2" t="s">
        <v>25</v>
      </c>
      <c r="L429" s="2">
        <v>158.0</v>
      </c>
      <c r="M429" s="2">
        <v>53.0</v>
      </c>
      <c r="N429" s="2">
        <v>789118.0</v>
      </c>
      <c r="O429" s="6">
        <v>45627.0</v>
      </c>
      <c r="P429" s="2" t="b">
        <v>1</v>
      </c>
      <c r="Q429" s="6">
        <f>IFERROR(__xludf.DUMMYFUNCTION("IF(ISDATE(O429),O429,L429)"),45627.0)</f>
        <v>45627</v>
      </c>
      <c r="R429" s="2">
        <v>158.0</v>
      </c>
      <c r="T429" s="6">
        <v>45627.0</v>
      </c>
    </row>
    <row r="430">
      <c r="A430" s="2" t="s">
        <v>532</v>
      </c>
      <c r="B430" s="2" t="s">
        <v>211</v>
      </c>
      <c r="C430" s="2" t="s">
        <v>28</v>
      </c>
      <c r="D430" s="2" t="s">
        <v>58</v>
      </c>
      <c r="E430" s="2">
        <v>178.0</v>
      </c>
      <c r="F430" s="3">
        <v>45420.0</v>
      </c>
      <c r="G430" s="3">
        <v>45589.0</v>
      </c>
      <c r="H430" s="2">
        <v>1.77366846E8</v>
      </c>
      <c r="I430" s="2">
        <v>1.63211558E8</v>
      </c>
      <c r="J430" s="2" t="s">
        <v>20</v>
      </c>
      <c r="K430" s="2" t="s">
        <v>73</v>
      </c>
      <c r="L430" s="2">
        <v>138.0</v>
      </c>
      <c r="M430" s="2">
        <v>169.0</v>
      </c>
      <c r="N430" s="2">
        <v>996443.0</v>
      </c>
      <c r="O430" s="4">
        <v>45413.0</v>
      </c>
      <c r="P430" s="2" t="b">
        <v>1</v>
      </c>
      <c r="Q430" s="4">
        <f>IFERROR(__xludf.DUMMYFUNCTION("IF(ISDATE(O430),O430,L430)"),45413.0)</f>
        <v>45413</v>
      </c>
      <c r="R430" s="2">
        <v>138.0</v>
      </c>
      <c r="T430" s="4">
        <v>45413.0</v>
      </c>
    </row>
    <row r="431">
      <c r="A431" s="2" t="s">
        <v>533</v>
      </c>
      <c r="B431" s="2" t="s">
        <v>66</v>
      </c>
      <c r="C431" s="2" t="s">
        <v>24</v>
      </c>
      <c r="D431" s="2" t="s">
        <v>19</v>
      </c>
      <c r="E431" s="2">
        <v>62.0</v>
      </c>
      <c r="F431" s="3">
        <v>45161.0</v>
      </c>
      <c r="G431" s="2">
        <v>3.993524E7</v>
      </c>
      <c r="H431" s="2" t="s">
        <v>69</v>
      </c>
      <c r="I431" s="2" t="s">
        <v>73</v>
      </c>
      <c r="J431" s="2">
        <v>94.0</v>
      </c>
      <c r="K431" s="2">
        <v>644117.0</v>
      </c>
      <c r="L431" s="4">
        <v>45139.0</v>
      </c>
      <c r="M431" s="2" t="b">
        <v>0</v>
      </c>
      <c r="Q431" s="4">
        <f>IFERROR(__xludf.DUMMYFUNCTION("IF(ISDATE(O431),O431,L431)"),45139.0)</f>
        <v>45139</v>
      </c>
      <c r="R431" s="2">
        <v>94.0</v>
      </c>
      <c r="T431" s="4">
        <v>45139.0</v>
      </c>
    </row>
    <row r="432">
      <c r="A432" s="2" t="s">
        <v>534</v>
      </c>
      <c r="B432" s="2" t="s">
        <v>323</v>
      </c>
      <c r="C432" s="2" t="s">
        <v>64</v>
      </c>
      <c r="D432" s="2" t="s">
        <v>29</v>
      </c>
      <c r="E432" s="2">
        <v>1200.0</v>
      </c>
      <c r="F432" s="3">
        <v>45187.0</v>
      </c>
      <c r="G432" s="3">
        <v>45261.0</v>
      </c>
      <c r="H432" s="2">
        <v>2.95010296E8</v>
      </c>
      <c r="I432" s="2">
        <v>2.753658E8</v>
      </c>
      <c r="J432" s="2" t="s">
        <v>20</v>
      </c>
      <c r="K432" s="2" t="s">
        <v>25</v>
      </c>
      <c r="L432" s="2">
        <v>144.0</v>
      </c>
      <c r="M432" s="2">
        <v>74.0</v>
      </c>
      <c r="N432" s="2">
        <v>245842.0</v>
      </c>
      <c r="O432" s="4">
        <v>45170.0</v>
      </c>
      <c r="P432" s="2" t="b">
        <v>1</v>
      </c>
      <c r="Q432" s="4">
        <f>IFERROR(__xludf.DUMMYFUNCTION("IF(ISDATE(O432),O432,L432)"),45170.0)</f>
        <v>45170</v>
      </c>
      <c r="R432" s="2">
        <v>144.0</v>
      </c>
      <c r="T432" s="4">
        <v>45170.0</v>
      </c>
    </row>
    <row r="433">
      <c r="A433" s="2" t="s">
        <v>535</v>
      </c>
      <c r="B433" s="2" t="s">
        <v>121</v>
      </c>
      <c r="C433" s="2" t="s">
        <v>24</v>
      </c>
      <c r="D433" s="2" t="s">
        <v>72</v>
      </c>
      <c r="E433" s="2">
        <v>181.0</v>
      </c>
      <c r="F433" s="3">
        <v>45462.0</v>
      </c>
      <c r="G433" s="3">
        <v>45478.0</v>
      </c>
      <c r="H433" s="2">
        <v>2.11772531E8</v>
      </c>
      <c r="I433" s="2">
        <v>2.01791054E8</v>
      </c>
      <c r="J433" s="2" t="s">
        <v>20</v>
      </c>
      <c r="K433" s="2" t="s">
        <v>30</v>
      </c>
      <c r="L433" s="2">
        <v>109.0</v>
      </c>
      <c r="M433" s="2">
        <v>16.0</v>
      </c>
      <c r="N433" s="2">
        <v>1170014.0</v>
      </c>
      <c r="O433" s="4">
        <v>45444.0</v>
      </c>
      <c r="P433" s="2" t="b">
        <v>1</v>
      </c>
      <c r="Q433" s="4">
        <f>IFERROR(__xludf.DUMMYFUNCTION("IF(ISDATE(O433),O433,L433)"),45444.0)</f>
        <v>45444</v>
      </c>
      <c r="R433" s="2">
        <v>109.0</v>
      </c>
      <c r="T433" s="4">
        <v>45444.0</v>
      </c>
    </row>
    <row r="434">
      <c r="A434" s="2" t="s">
        <v>536</v>
      </c>
      <c r="B434" s="2" t="s">
        <v>36</v>
      </c>
      <c r="C434" s="2" t="s">
        <v>24</v>
      </c>
      <c r="D434" s="2" t="s">
        <v>102</v>
      </c>
      <c r="E434" s="2">
        <v>154.0</v>
      </c>
      <c r="F434" s="3">
        <v>45194.0</v>
      </c>
      <c r="G434" s="2">
        <v>1.34617995E8</v>
      </c>
      <c r="H434" s="2" t="s">
        <v>69</v>
      </c>
      <c r="I434" s="2" t="s">
        <v>25</v>
      </c>
      <c r="J434" s="2">
        <v>75.0</v>
      </c>
      <c r="K434" s="2">
        <v>874143.0</v>
      </c>
      <c r="L434" s="4">
        <v>45170.0</v>
      </c>
      <c r="M434" s="2" t="b">
        <v>0</v>
      </c>
      <c r="Q434" s="4">
        <f>IFERROR(__xludf.DUMMYFUNCTION("IF(ISDATE(O434),O434,L434)"),45170.0)</f>
        <v>45170</v>
      </c>
      <c r="R434" s="2">
        <v>75.0</v>
      </c>
      <c r="T434" s="4">
        <v>45170.0</v>
      </c>
    </row>
    <row r="435">
      <c r="A435" s="2" t="s">
        <v>537</v>
      </c>
      <c r="B435" s="2" t="s">
        <v>132</v>
      </c>
      <c r="C435" s="2" t="s">
        <v>101</v>
      </c>
      <c r="D435" s="2" t="s">
        <v>49</v>
      </c>
      <c r="E435" s="2">
        <v>243.0</v>
      </c>
      <c r="F435" s="3">
        <v>45492.0</v>
      </c>
      <c r="G435" s="2">
        <v>8.4642343E7</v>
      </c>
      <c r="H435" s="2" t="s">
        <v>69</v>
      </c>
      <c r="I435" s="2" t="s">
        <v>25</v>
      </c>
      <c r="J435" s="2">
        <v>147.0</v>
      </c>
      <c r="K435" s="2">
        <v>348322.0</v>
      </c>
      <c r="L435" s="4">
        <v>45474.0</v>
      </c>
      <c r="M435" s="2" t="b">
        <v>0</v>
      </c>
      <c r="Q435" s="4">
        <f>IFERROR(__xludf.DUMMYFUNCTION("IF(ISDATE(O435),O435,L435)"),45474.0)</f>
        <v>45474</v>
      </c>
      <c r="R435" s="2">
        <v>147.0</v>
      </c>
      <c r="T435" s="4">
        <v>45474.0</v>
      </c>
    </row>
    <row r="436">
      <c r="A436" s="2" t="s">
        <v>538</v>
      </c>
      <c r="B436" s="2" t="s">
        <v>142</v>
      </c>
      <c r="C436" s="2" t="s">
        <v>64</v>
      </c>
      <c r="D436" s="2" t="s">
        <v>37</v>
      </c>
      <c r="E436" s="2">
        <v>595.0</v>
      </c>
      <c r="F436" s="3">
        <v>45334.0</v>
      </c>
      <c r="G436" s="2">
        <v>5.28751487E8</v>
      </c>
      <c r="H436" s="2" t="s">
        <v>34</v>
      </c>
      <c r="I436" s="2" t="s">
        <v>42</v>
      </c>
      <c r="J436" s="2">
        <v>119.0</v>
      </c>
      <c r="K436" s="2">
        <v>888658.0</v>
      </c>
      <c r="L436" s="4">
        <v>45323.0</v>
      </c>
      <c r="M436" s="2" t="b">
        <v>0</v>
      </c>
      <c r="Q436" s="4">
        <f>IFERROR(__xludf.DUMMYFUNCTION("IF(ISDATE(O436),O436,L436)"),45323.0)</f>
        <v>45323</v>
      </c>
      <c r="R436" s="2">
        <v>119.0</v>
      </c>
      <c r="T436" s="4">
        <v>45323.0</v>
      </c>
    </row>
    <row r="437">
      <c r="A437" s="2" t="s">
        <v>539</v>
      </c>
      <c r="B437" s="2" t="s">
        <v>183</v>
      </c>
      <c r="C437" s="2" t="s">
        <v>57</v>
      </c>
      <c r="D437" s="2" t="s">
        <v>102</v>
      </c>
      <c r="E437" s="2">
        <v>112.0</v>
      </c>
      <c r="F437" s="3">
        <v>45337.0</v>
      </c>
      <c r="G437" s="2">
        <v>4.9083334E7</v>
      </c>
      <c r="H437" s="2" t="s">
        <v>34</v>
      </c>
      <c r="I437" s="2" t="s">
        <v>21</v>
      </c>
      <c r="J437" s="2">
        <v>46.0</v>
      </c>
      <c r="K437" s="2">
        <v>438244.0</v>
      </c>
      <c r="L437" s="4">
        <v>45323.0</v>
      </c>
      <c r="M437" s="2" t="b">
        <v>0</v>
      </c>
      <c r="Q437" s="4">
        <f>IFERROR(__xludf.DUMMYFUNCTION("IF(ISDATE(O437),O437,L437)"),45323.0)</f>
        <v>45323</v>
      </c>
      <c r="R437" s="2">
        <v>46.0</v>
      </c>
      <c r="T437" s="4">
        <v>45323.0</v>
      </c>
    </row>
    <row r="438">
      <c r="A438" s="2" t="s">
        <v>540</v>
      </c>
      <c r="B438" s="2" t="s">
        <v>227</v>
      </c>
      <c r="C438" s="2" t="s">
        <v>24</v>
      </c>
      <c r="D438" s="2" t="s">
        <v>19</v>
      </c>
      <c r="E438" s="2">
        <v>65.0</v>
      </c>
      <c r="F438" s="3">
        <v>45409.0</v>
      </c>
      <c r="G438" s="2">
        <v>3.1791766E7</v>
      </c>
      <c r="H438" s="2" t="s">
        <v>69</v>
      </c>
      <c r="I438" s="2" t="s">
        <v>30</v>
      </c>
      <c r="J438" s="2">
        <v>61.0</v>
      </c>
      <c r="K438" s="2">
        <v>489104.0</v>
      </c>
      <c r="L438" s="4">
        <v>45383.0</v>
      </c>
      <c r="M438" s="2" t="b">
        <v>0</v>
      </c>
      <c r="Q438" s="4">
        <f>IFERROR(__xludf.DUMMYFUNCTION("IF(ISDATE(O438),O438,L438)"),45383.0)</f>
        <v>45383</v>
      </c>
      <c r="R438" s="2">
        <v>61.0</v>
      </c>
      <c r="T438" s="4">
        <v>45383.0</v>
      </c>
    </row>
    <row r="439">
      <c r="A439" s="2" t="s">
        <v>541</v>
      </c>
      <c r="B439" s="2" t="s">
        <v>119</v>
      </c>
      <c r="C439" s="2" t="s">
        <v>24</v>
      </c>
      <c r="D439" s="2" t="s">
        <v>29</v>
      </c>
      <c r="E439" s="2">
        <v>709.0</v>
      </c>
      <c r="F439" s="3">
        <v>45555.0</v>
      </c>
      <c r="G439" s="3">
        <v>45643.0</v>
      </c>
      <c r="H439" s="2">
        <v>2.35304963E8</v>
      </c>
      <c r="I439" s="2">
        <v>2.38974687E8</v>
      </c>
      <c r="J439" s="2" t="s">
        <v>20</v>
      </c>
      <c r="K439" s="2" t="s">
        <v>42</v>
      </c>
      <c r="L439" s="2">
        <v>168.0</v>
      </c>
      <c r="M439" s="2">
        <v>88.0</v>
      </c>
      <c r="N439" s="2">
        <v>331883.0</v>
      </c>
      <c r="O439" s="4">
        <v>45536.0</v>
      </c>
      <c r="P439" s="2" t="b">
        <v>1</v>
      </c>
      <c r="Q439" s="4">
        <f>IFERROR(__xludf.DUMMYFUNCTION("IF(ISDATE(O439),O439,L439)"),45536.0)</f>
        <v>45536</v>
      </c>
      <c r="R439" s="2">
        <v>168.0</v>
      </c>
      <c r="T439" s="4">
        <v>45536.0</v>
      </c>
    </row>
    <row r="440">
      <c r="A440" s="2" t="s">
        <v>542</v>
      </c>
      <c r="B440" s="2" t="s">
        <v>201</v>
      </c>
      <c r="C440" s="2" t="s">
        <v>64</v>
      </c>
      <c r="D440" s="2" t="s">
        <v>19</v>
      </c>
      <c r="E440" s="2">
        <v>46.0</v>
      </c>
      <c r="F440" s="3">
        <v>45126.0</v>
      </c>
      <c r="G440" s="3">
        <v>45294.0</v>
      </c>
      <c r="H440" s="2">
        <v>1.8548985E7</v>
      </c>
      <c r="I440" s="2">
        <v>1.9137951E7</v>
      </c>
      <c r="J440" s="2" t="s">
        <v>20</v>
      </c>
      <c r="K440" s="2" t="s">
        <v>25</v>
      </c>
      <c r="L440" s="2">
        <v>48.0</v>
      </c>
      <c r="M440" s="2">
        <v>168.0</v>
      </c>
      <c r="N440" s="2">
        <v>403239.0</v>
      </c>
      <c r="O440" s="4">
        <v>45108.0</v>
      </c>
      <c r="P440" s="2" t="b">
        <v>1</v>
      </c>
      <c r="Q440" s="4">
        <f>IFERROR(__xludf.DUMMYFUNCTION("IF(ISDATE(O440),O440,L440)"),45108.0)</f>
        <v>45108</v>
      </c>
      <c r="R440" s="2">
        <v>48.0</v>
      </c>
      <c r="T440" s="4">
        <v>45108.0</v>
      </c>
    </row>
    <row r="441">
      <c r="A441" s="2" t="s">
        <v>543</v>
      </c>
      <c r="B441" s="2" t="s">
        <v>27</v>
      </c>
      <c r="C441" s="2" t="s">
        <v>18</v>
      </c>
      <c r="D441" s="2" t="s">
        <v>67</v>
      </c>
      <c r="E441" s="2">
        <v>32.0</v>
      </c>
      <c r="F441" s="3">
        <v>45015.0</v>
      </c>
      <c r="G441" s="2">
        <v>6217126.0</v>
      </c>
      <c r="H441" s="2" t="s">
        <v>69</v>
      </c>
      <c r="I441" s="2" t="s">
        <v>73</v>
      </c>
      <c r="J441" s="2">
        <v>108.0</v>
      </c>
      <c r="K441" s="2">
        <v>194285.0</v>
      </c>
      <c r="L441" s="4">
        <v>44986.0</v>
      </c>
      <c r="M441" s="2" t="b">
        <v>0</v>
      </c>
      <c r="Q441" s="4">
        <f>IFERROR(__xludf.DUMMYFUNCTION("IF(ISDATE(O441),O441,L441)"),44986.0)</f>
        <v>44986</v>
      </c>
      <c r="R441" s="2">
        <v>108.0</v>
      </c>
      <c r="T441" s="4">
        <v>44986.0</v>
      </c>
    </row>
    <row r="442">
      <c r="A442" s="2" t="s">
        <v>544</v>
      </c>
      <c r="B442" s="2" t="s">
        <v>211</v>
      </c>
      <c r="C442" s="2" t="s">
        <v>64</v>
      </c>
      <c r="D442" s="2" t="s">
        <v>58</v>
      </c>
      <c r="E442" s="2">
        <v>53.0</v>
      </c>
      <c r="F442" s="3">
        <v>45489.0</v>
      </c>
      <c r="G442" s="3">
        <v>45647.0</v>
      </c>
      <c r="H442" s="2">
        <v>3.1901854E7</v>
      </c>
      <c r="I442" s="2">
        <v>3.1126487E7</v>
      </c>
      <c r="J442" s="2" t="s">
        <v>20</v>
      </c>
      <c r="K442" s="2" t="s">
        <v>30</v>
      </c>
      <c r="L442" s="2">
        <v>62.0</v>
      </c>
      <c r="M442" s="2">
        <v>158.0</v>
      </c>
      <c r="N442" s="2">
        <v>601922.0</v>
      </c>
      <c r="O442" s="4">
        <v>45474.0</v>
      </c>
      <c r="P442" s="2" t="b">
        <v>1</v>
      </c>
      <c r="Q442" s="4">
        <f>IFERROR(__xludf.DUMMYFUNCTION("IF(ISDATE(O442),O442,L442)"),45474.0)</f>
        <v>45474</v>
      </c>
      <c r="R442" s="2">
        <v>62.0</v>
      </c>
      <c r="T442" s="4">
        <v>45474.0</v>
      </c>
    </row>
    <row r="443">
      <c r="A443" s="2" t="s">
        <v>545</v>
      </c>
      <c r="B443" s="2" t="s">
        <v>52</v>
      </c>
      <c r="C443" s="2" t="s">
        <v>64</v>
      </c>
      <c r="D443" s="2" t="s">
        <v>72</v>
      </c>
      <c r="E443" s="2">
        <v>296.0</v>
      </c>
      <c r="F443" s="3">
        <v>44931.0</v>
      </c>
      <c r="G443" s="3">
        <v>45050.0</v>
      </c>
      <c r="H443" s="2">
        <v>2.52346258E8</v>
      </c>
      <c r="I443" s="2">
        <v>2.54713496E8</v>
      </c>
      <c r="J443" s="2" t="s">
        <v>20</v>
      </c>
      <c r="K443" s="2" t="s">
        <v>25</v>
      </c>
      <c r="L443" s="2">
        <v>80.0</v>
      </c>
      <c r="M443" s="2">
        <v>119.0</v>
      </c>
      <c r="N443" s="2">
        <v>852521.0</v>
      </c>
      <c r="O443" s="4">
        <v>44927.0</v>
      </c>
      <c r="P443" s="2" t="b">
        <v>1</v>
      </c>
      <c r="Q443" s="4">
        <f>IFERROR(__xludf.DUMMYFUNCTION("IF(ISDATE(O443),O443,L443)"),44927.0)</f>
        <v>44927</v>
      </c>
      <c r="R443" s="2">
        <v>80.0</v>
      </c>
      <c r="T443" s="4">
        <v>44927.0</v>
      </c>
    </row>
    <row r="444">
      <c r="A444" s="2" t="s">
        <v>546</v>
      </c>
      <c r="B444" s="2" t="s">
        <v>63</v>
      </c>
      <c r="C444" s="2" t="s">
        <v>24</v>
      </c>
      <c r="D444" s="2" t="s">
        <v>33</v>
      </c>
      <c r="E444" s="2">
        <v>97.0</v>
      </c>
      <c r="F444" s="3">
        <v>45759.0</v>
      </c>
      <c r="G444" s="2">
        <v>7.1100018E7</v>
      </c>
      <c r="H444" s="2" t="s">
        <v>69</v>
      </c>
      <c r="I444" s="2" t="s">
        <v>73</v>
      </c>
      <c r="J444" s="2">
        <v>149.0</v>
      </c>
      <c r="K444" s="2">
        <v>732990.0</v>
      </c>
      <c r="L444" s="4">
        <v>45748.0</v>
      </c>
      <c r="M444" s="2" t="b">
        <v>0</v>
      </c>
      <c r="Q444" s="4">
        <f>IFERROR(__xludf.DUMMYFUNCTION("IF(ISDATE(O444),O444,L444)"),45748.0)</f>
        <v>45748</v>
      </c>
      <c r="R444" s="2">
        <v>149.0</v>
      </c>
      <c r="T444" s="4">
        <v>45748.0</v>
      </c>
    </row>
    <row r="445">
      <c r="A445" s="2" t="s">
        <v>547</v>
      </c>
      <c r="B445" s="2" t="s">
        <v>349</v>
      </c>
      <c r="C445" s="2" t="s">
        <v>64</v>
      </c>
      <c r="D445" s="2" t="s">
        <v>72</v>
      </c>
      <c r="E445" s="2">
        <v>266.0</v>
      </c>
      <c r="F445" s="3">
        <v>45398.0</v>
      </c>
      <c r="G445" s="2">
        <v>2.24679116E8</v>
      </c>
      <c r="H445" s="2" t="s">
        <v>41</v>
      </c>
      <c r="I445" s="2" t="s">
        <v>30</v>
      </c>
      <c r="J445" s="2">
        <v>22.0</v>
      </c>
      <c r="K445" s="2">
        <v>844658.0</v>
      </c>
      <c r="L445" s="4">
        <v>45383.0</v>
      </c>
      <c r="M445" s="2" t="b">
        <v>0</v>
      </c>
      <c r="Q445" s="4">
        <f>IFERROR(__xludf.DUMMYFUNCTION("IF(ISDATE(O445),O445,L445)"),45383.0)</f>
        <v>45383</v>
      </c>
      <c r="R445" s="2">
        <v>22.0</v>
      </c>
      <c r="T445" s="4">
        <v>45383.0</v>
      </c>
    </row>
    <row r="446">
      <c r="A446" s="2" t="s">
        <v>548</v>
      </c>
      <c r="B446" s="2" t="s">
        <v>123</v>
      </c>
      <c r="C446" s="2" t="s">
        <v>24</v>
      </c>
      <c r="D446" s="2" t="s">
        <v>72</v>
      </c>
      <c r="E446" s="2">
        <v>238.0</v>
      </c>
      <c r="F446" s="3">
        <v>45905.0</v>
      </c>
      <c r="G446" s="3">
        <v>46057.0</v>
      </c>
      <c r="H446" s="2">
        <v>2.37774007E8</v>
      </c>
      <c r="I446" s="2">
        <v>2.50411297E8</v>
      </c>
      <c r="J446" s="2" t="s">
        <v>20</v>
      </c>
      <c r="K446" s="2" t="s">
        <v>42</v>
      </c>
      <c r="L446" s="2">
        <v>78.0</v>
      </c>
      <c r="M446" s="2">
        <v>152.0</v>
      </c>
      <c r="N446" s="2">
        <v>999050.0</v>
      </c>
      <c r="O446" s="4">
        <v>45901.0</v>
      </c>
      <c r="P446" s="2" t="b">
        <v>1</v>
      </c>
      <c r="Q446" s="4">
        <f>IFERROR(__xludf.DUMMYFUNCTION("IF(ISDATE(O446),O446,L446)"),45901.0)</f>
        <v>45901</v>
      </c>
      <c r="R446" s="2">
        <v>78.0</v>
      </c>
      <c r="T446" s="4">
        <v>45901.0</v>
      </c>
    </row>
    <row r="447">
      <c r="A447" s="2" t="s">
        <v>549</v>
      </c>
      <c r="B447" s="2" t="s">
        <v>84</v>
      </c>
      <c r="C447" s="2" t="s">
        <v>28</v>
      </c>
      <c r="D447" s="2" t="s">
        <v>67</v>
      </c>
      <c r="E447" s="2">
        <v>27.0</v>
      </c>
      <c r="F447" s="3">
        <v>45414.0</v>
      </c>
      <c r="G447" s="3">
        <v>45484.0</v>
      </c>
      <c r="H447" s="2">
        <v>1.9402126E7</v>
      </c>
      <c r="I447" s="2">
        <v>1.8685258E7</v>
      </c>
      <c r="J447" s="2" t="s">
        <v>20</v>
      </c>
      <c r="K447" s="2" t="s">
        <v>42</v>
      </c>
      <c r="L447" s="2">
        <v>132.0</v>
      </c>
      <c r="M447" s="2">
        <v>70.0</v>
      </c>
      <c r="N447" s="2">
        <v>718597.0</v>
      </c>
      <c r="O447" s="4">
        <v>45413.0</v>
      </c>
      <c r="P447" s="2" t="b">
        <v>1</v>
      </c>
      <c r="Q447" s="4">
        <f>IFERROR(__xludf.DUMMYFUNCTION("IF(ISDATE(O447),O447,L447)"),45413.0)</f>
        <v>45413</v>
      </c>
      <c r="R447" s="2">
        <v>132.0</v>
      </c>
      <c r="T447" s="4">
        <v>45413.0</v>
      </c>
    </row>
    <row r="448">
      <c r="A448" s="2" t="s">
        <v>550</v>
      </c>
      <c r="B448" s="2" t="s">
        <v>17</v>
      </c>
      <c r="C448" s="2" t="s">
        <v>57</v>
      </c>
      <c r="D448" s="2" t="s">
        <v>72</v>
      </c>
      <c r="E448" s="2">
        <v>241.0</v>
      </c>
      <c r="F448" s="3">
        <v>45161.0</v>
      </c>
      <c r="G448" s="3">
        <v>45239.0</v>
      </c>
      <c r="H448" s="2">
        <v>1.64432255E8</v>
      </c>
      <c r="I448" s="2">
        <v>1.60644456E8</v>
      </c>
      <c r="J448" s="2" t="s">
        <v>20</v>
      </c>
      <c r="K448" s="2" t="s">
        <v>21</v>
      </c>
      <c r="L448" s="2">
        <v>35.0</v>
      </c>
      <c r="M448" s="2">
        <v>78.0</v>
      </c>
      <c r="N448" s="2">
        <v>682292.0</v>
      </c>
      <c r="O448" s="4">
        <v>45139.0</v>
      </c>
      <c r="P448" s="2" t="b">
        <v>1</v>
      </c>
      <c r="Q448" s="4">
        <f>IFERROR(__xludf.DUMMYFUNCTION("IF(ISDATE(O448),O448,L448)"),45139.0)</f>
        <v>45139</v>
      </c>
      <c r="R448" s="2">
        <v>35.0</v>
      </c>
      <c r="T448" s="4">
        <v>45139.0</v>
      </c>
    </row>
    <row r="449">
      <c r="A449" s="2" t="s">
        <v>551</v>
      </c>
      <c r="B449" s="2" t="s">
        <v>60</v>
      </c>
      <c r="C449" s="2" t="s">
        <v>93</v>
      </c>
      <c r="D449" s="2" t="s">
        <v>81</v>
      </c>
      <c r="E449" s="2">
        <v>454.0</v>
      </c>
      <c r="F449" s="3">
        <v>45795.0</v>
      </c>
      <c r="G449" s="3">
        <v>45968.0</v>
      </c>
      <c r="H449" s="2">
        <v>7.9772347E7</v>
      </c>
      <c r="I449" s="2">
        <v>8.4853797E7</v>
      </c>
      <c r="J449" s="2" t="s">
        <v>20</v>
      </c>
      <c r="K449" s="2" t="s">
        <v>25</v>
      </c>
      <c r="L449" s="2">
        <v>75.0</v>
      </c>
      <c r="M449" s="2">
        <v>173.0</v>
      </c>
      <c r="N449" s="2">
        <v>175710.0</v>
      </c>
      <c r="O449" s="4">
        <v>45778.0</v>
      </c>
      <c r="P449" s="2" t="b">
        <v>1</v>
      </c>
      <c r="Q449" s="4">
        <f>IFERROR(__xludf.DUMMYFUNCTION("IF(ISDATE(O449),O449,L449)"),45778.0)</f>
        <v>45778</v>
      </c>
      <c r="R449" s="2">
        <v>75.0</v>
      </c>
      <c r="T449" s="4">
        <v>45778.0</v>
      </c>
    </row>
    <row r="450">
      <c r="A450" s="2" t="s">
        <v>552</v>
      </c>
      <c r="B450" s="2" t="s">
        <v>323</v>
      </c>
      <c r="C450" s="2" t="s">
        <v>64</v>
      </c>
      <c r="D450" s="2" t="s">
        <v>58</v>
      </c>
      <c r="E450" s="2">
        <v>121.0</v>
      </c>
      <c r="F450" s="3">
        <v>45695.0</v>
      </c>
      <c r="G450" s="3">
        <v>45723.0</v>
      </c>
      <c r="H450" s="2">
        <v>6.3506319E7</v>
      </c>
      <c r="I450" s="2">
        <v>6.2725708E7</v>
      </c>
      <c r="J450" s="2" t="s">
        <v>20</v>
      </c>
      <c r="K450" s="2" t="s">
        <v>25</v>
      </c>
      <c r="L450" s="2">
        <v>13.0</v>
      </c>
      <c r="M450" s="2">
        <v>28.0</v>
      </c>
      <c r="N450" s="2">
        <v>524846.0</v>
      </c>
      <c r="O450" s="4">
        <v>45689.0</v>
      </c>
      <c r="P450" s="2" t="b">
        <v>1</v>
      </c>
      <c r="Q450" s="4">
        <f>IFERROR(__xludf.DUMMYFUNCTION("IF(ISDATE(O450),O450,L450)"),45689.0)</f>
        <v>45689</v>
      </c>
      <c r="R450" s="2">
        <v>13.0</v>
      </c>
      <c r="T450" s="4">
        <v>45689.0</v>
      </c>
    </row>
    <row r="451">
      <c r="A451" s="2" t="s">
        <v>553</v>
      </c>
      <c r="B451" s="2" t="s">
        <v>284</v>
      </c>
      <c r="C451" s="2" t="s">
        <v>64</v>
      </c>
      <c r="D451" s="2" t="s">
        <v>49</v>
      </c>
      <c r="E451" s="2">
        <v>270.0</v>
      </c>
      <c r="F451" s="3">
        <v>45926.0</v>
      </c>
      <c r="G451" s="3">
        <v>46073.0</v>
      </c>
      <c r="H451" s="2">
        <v>1.75888202E8</v>
      </c>
      <c r="I451" s="2">
        <v>1.81212986E8</v>
      </c>
      <c r="J451" s="2" t="s">
        <v>20</v>
      </c>
      <c r="K451" s="2" t="s">
        <v>21</v>
      </c>
      <c r="L451" s="2">
        <v>177.0</v>
      </c>
      <c r="M451" s="2">
        <v>147.0</v>
      </c>
      <c r="N451" s="2">
        <v>651438.0</v>
      </c>
      <c r="O451" s="4">
        <v>45901.0</v>
      </c>
      <c r="P451" s="2" t="b">
        <v>1</v>
      </c>
      <c r="Q451" s="4">
        <f>IFERROR(__xludf.DUMMYFUNCTION("IF(ISDATE(O451),O451,L451)"),45901.0)</f>
        <v>45901</v>
      </c>
      <c r="R451" s="2">
        <v>177.0</v>
      </c>
      <c r="T451" s="4">
        <v>45901.0</v>
      </c>
    </row>
    <row r="452">
      <c r="A452" s="2" t="s">
        <v>554</v>
      </c>
      <c r="B452" s="2" t="s">
        <v>106</v>
      </c>
      <c r="C452" s="2" t="s">
        <v>28</v>
      </c>
      <c r="D452" s="2" t="s">
        <v>29</v>
      </c>
      <c r="E452" s="2">
        <v>1225.0</v>
      </c>
      <c r="F452" s="3">
        <v>45554.0</v>
      </c>
      <c r="G452" s="2">
        <v>5.0109262E8</v>
      </c>
      <c r="H452" s="2" t="s">
        <v>41</v>
      </c>
      <c r="I452" s="2" t="s">
        <v>42</v>
      </c>
      <c r="J452" s="2">
        <v>73.0</v>
      </c>
      <c r="K452" s="2">
        <v>409055.0</v>
      </c>
      <c r="L452" s="4">
        <v>45536.0</v>
      </c>
      <c r="M452" s="2" t="b">
        <v>0</v>
      </c>
      <c r="Q452" s="4">
        <f>IFERROR(__xludf.DUMMYFUNCTION("IF(ISDATE(O452),O452,L452)"),45536.0)</f>
        <v>45536</v>
      </c>
      <c r="R452" s="2">
        <v>73.0</v>
      </c>
      <c r="T452" s="4">
        <v>45536.0</v>
      </c>
    </row>
    <row r="453">
      <c r="A453" s="2" t="s">
        <v>555</v>
      </c>
      <c r="B453" s="2" t="s">
        <v>88</v>
      </c>
      <c r="C453" s="2" t="s">
        <v>64</v>
      </c>
      <c r="D453" s="2" t="s">
        <v>29</v>
      </c>
      <c r="E453" s="2">
        <v>3210.0</v>
      </c>
      <c r="F453" s="3">
        <v>45437.0</v>
      </c>
      <c r="G453" s="3">
        <v>45559.0</v>
      </c>
      <c r="H453" s="2">
        <v>7.3471354E8</v>
      </c>
      <c r="I453" s="2">
        <v>7.19703004E8</v>
      </c>
      <c r="J453" s="2" t="s">
        <v>20</v>
      </c>
      <c r="K453" s="2" t="s">
        <v>73</v>
      </c>
      <c r="L453" s="2">
        <v>76.0</v>
      </c>
      <c r="M453" s="2">
        <v>122.0</v>
      </c>
      <c r="N453" s="2">
        <v>228883.0</v>
      </c>
      <c r="O453" s="4">
        <v>45413.0</v>
      </c>
      <c r="P453" s="2" t="b">
        <v>1</v>
      </c>
      <c r="Q453" s="4">
        <f>IFERROR(__xludf.DUMMYFUNCTION("IF(ISDATE(O453),O453,L453)"),45413.0)</f>
        <v>45413</v>
      </c>
      <c r="R453" s="2">
        <v>76.0</v>
      </c>
      <c r="T453" s="4">
        <v>45413.0</v>
      </c>
    </row>
    <row r="454">
      <c r="A454" s="2" t="s">
        <v>556</v>
      </c>
      <c r="B454" s="2" t="s">
        <v>137</v>
      </c>
      <c r="C454" s="2" t="s">
        <v>64</v>
      </c>
      <c r="D454" s="2" t="s">
        <v>29</v>
      </c>
      <c r="E454" s="2">
        <v>1474.0</v>
      </c>
      <c r="F454" s="3">
        <v>45161.0</v>
      </c>
      <c r="G454" s="2">
        <v>2.85942553E8</v>
      </c>
      <c r="H454" s="2" t="s">
        <v>34</v>
      </c>
      <c r="I454" s="2" t="s">
        <v>42</v>
      </c>
      <c r="J454" s="2">
        <v>147.0</v>
      </c>
      <c r="K454" s="2">
        <v>193991.0</v>
      </c>
      <c r="L454" s="4">
        <v>45139.0</v>
      </c>
      <c r="M454" s="2" t="b">
        <v>0</v>
      </c>
      <c r="Q454" s="4">
        <f>IFERROR(__xludf.DUMMYFUNCTION("IF(ISDATE(O454),O454,L454)"),45139.0)</f>
        <v>45139</v>
      </c>
      <c r="R454" s="2">
        <v>147.0</v>
      </c>
      <c r="T454" s="4">
        <v>45139.0</v>
      </c>
    </row>
    <row r="455">
      <c r="A455" s="2" t="s">
        <v>557</v>
      </c>
      <c r="B455" s="2" t="s">
        <v>71</v>
      </c>
      <c r="C455" s="2" t="s">
        <v>24</v>
      </c>
      <c r="D455" s="2" t="s">
        <v>49</v>
      </c>
      <c r="E455" s="2">
        <v>100.0</v>
      </c>
      <c r="F455" s="3">
        <v>45080.0</v>
      </c>
      <c r="G455" s="3">
        <v>45097.0</v>
      </c>
      <c r="H455" s="2">
        <v>8.3778504E7</v>
      </c>
      <c r="I455" s="2">
        <v>8.3773113E7</v>
      </c>
      <c r="J455" s="2" t="s">
        <v>20</v>
      </c>
      <c r="K455" s="2" t="s">
        <v>25</v>
      </c>
      <c r="L455" s="2">
        <v>141.0</v>
      </c>
      <c r="M455" s="2">
        <v>17.0</v>
      </c>
      <c r="N455" s="2">
        <v>837785.0</v>
      </c>
      <c r="O455" s="4">
        <v>45078.0</v>
      </c>
      <c r="P455" s="2" t="b">
        <v>1</v>
      </c>
      <c r="Q455" s="4">
        <f>IFERROR(__xludf.DUMMYFUNCTION("IF(ISDATE(O455),O455,L455)"),45078.0)</f>
        <v>45078</v>
      </c>
      <c r="R455" s="2">
        <v>141.0</v>
      </c>
      <c r="T455" s="4">
        <v>45078.0</v>
      </c>
    </row>
    <row r="456">
      <c r="A456" s="2" t="s">
        <v>558</v>
      </c>
      <c r="B456" s="2" t="s">
        <v>63</v>
      </c>
      <c r="C456" s="2" t="s">
        <v>18</v>
      </c>
      <c r="D456" s="2" t="s">
        <v>81</v>
      </c>
      <c r="E456" s="2">
        <v>2857.0</v>
      </c>
      <c r="F456" s="3">
        <v>45806.0</v>
      </c>
      <c r="G456" s="3">
        <v>45922.0</v>
      </c>
      <c r="H456" s="2">
        <v>4.26981811E8</v>
      </c>
      <c r="I456" s="2">
        <v>4.03982308E8</v>
      </c>
      <c r="J456" s="2" t="s">
        <v>20</v>
      </c>
      <c r="K456" s="2" t="s">
        <v>42</v>
      </c>
      <c r="L456" s="2">
        <v>70.0</v>
      </c>
      <c r="M456" s="2">
        <v>116.0</v>
      </c>
      <c r="N456" s="2">
        <v>149451.0</v>
      </c>
      <c r="O456" s="4">
        <v>45778.0</v>
      </c>
      <c r="P456" s="2" t="b">
        <v>1</v>
      </c>
      <c r="Q456" s="4">
        <f>IFERROR(__xludf.DUMMYFUNCTION("IF(ISDATE(O456),O456,L456)"),45778.0)</f>
        <v>45778</v>
      </c>
      <c r="R456" s="2">
        <v>70.0</v>
      </c>
      <c r="T456" s="4">
        <v>45778.0</v>
      </c>
    </row>
    <row r="457">
      <c r="A457" s="2" t="s">
        <v>559</v>
      </c>
      <c r="B457" s="2" t="s">
        <v>106</v>
      </c>
      <c r="C457" s="2" t="s">
        <v>64</v>
      </c>
      <c r="D457" s="2" t="s">
        <v>33</v>
      </c>
      <c r="E457" s="2">
        <v>93.0</v>
      </c>
      <c r="F457" s="3">
        <v>45296.0</v>
      </c>
      <c r="G457" s="3">
        <v>45453.0</v>
      </c>
      <c r="H457" s="2">
        <v>5.1171578E7</v>
      </c>
      <c r="I457" s="2">
        <v>4.9187879E7</v>
      </c>
      <c r="J457" s="2" t="s">
        <v>20</v>
      </c>
      <c r="K457" s="2" t="s">
        <v>21</v>
      </c>
      <c r="L457" s="2">
        <v>110.0</v>
      </c>
      <c r="M457" s="2">
        <v>157.0</v>
      </c>
      <c r="N457" s="2">
        <v>550232.0</v>
      </c>
      <c r="O457" s="4">
        <v>45292.0</v>
      </c>
      <c r="P457" s="2" t="b">
        <v>1</v>
      </c>
      <c r="Q457" s="4">
        <f>IFERROR(__xludf.DUMMYFUNCTION("IF(ISDATE(O457),O457,L457)"),45292.0)</f>
        <v>45292</v>
      </c>
      <c r="R457" s="2">
        <v>110.0</v>
      </c>
      <c r="T457" s="4">
        <v>45292.0</v>
      </c>
    </row>
    <row r="458">
      <c r="A458" s="2" t="s">
        <v>560</v>
      </c>
      <c r="B458" s="2" t="s">
        <v>109</v>
      </c>
      <c r="C458" s="2" t="s">
        <v>28</v>
      </c>
      <c r="D458" s="2" t="s">
        <v>29</v>
      </c>
      <c r="E458" s="2">
        <v>2029.0</v>
      </c>
      <c r="F458" s="3">
        <v>45592.0</v>
      </c>
      <c r="G458" s="3">
        <v>45651.0</v>
      </c>
      <c r="H458" s="2">
        <v>9.63712282E8</v>
      </c>
      <c r="I458" s="2">
        <v>9.30500248E8</v>
      </c>
      <c r="J458" s="2" t="s">
        <v>20</v>
      </c>
      <c r="K458" s="2" t="s">
        <v>30</v>
      </c>
      <c r="L458" s="2">
        <v>177.0</v>
      </c>
      <c r="M458" s="2">
        <v>59.0</v>
      </c>
      <c r="N458" s="2">
        <v>474969.0</v>
      </c>
      <c r="O458" s="6">
        <v>45566.0</v>
      </c>
      <c r="P458" s="2" t="b">
        <v>1</v>
      </c>
      <c r="Q458" s="6">
        <f>IFERROR(__xludf.DUMMYFUNCTION("IF(ISDATE(O458),O458,L458)"),45566.0)</f>
        <v>45566</v>
      </c>
      <c r="R458" s="2">
        <v>177.0</v>
      </c>
      <c r="T458" s="6">
        <v>45566.0</v>
      </c>
    </row>
    <row r="459">
      <c r="A459" s="2" t="s">
        <v>561</v>
      </c>
      <c r="B459" s="2" t="s">
        <v>52</v>
      </c>
      <c r="C459" s="2" t="s">
        <v>64</v>
      </c>
      <c r="D459" s="2" t="s">
        <v>81</v>
      </c>
      <c r="E459" s="2">
        <v>1042.0</v>
      </c>
      <c r="F459" s="3">
        <v>45220.0</v>
      </c>
      <c r="G459" s="3">
        <v>45272.0</v>
      </c>
      <c r="H459" s="2">
        <v>3.36849242E8</v>
      </c>
      <c r="I459" s="2">
        <v>3.44425959E8</v>
      </c>
      <c r="J459" s="2" t="s">
        <v>20</v>
      </c>
      <c r="K459" s="2" t="s">
        <v>30</v>
      </c>
      <c r="L459" s="2">
        <v>112.0</v>
      </c>
      <c r="M459" s="2">
        <v>52.0</v>
      </c>
      <c r="N459" s="2">
        <v>323272.0</v>
      </c>
      <c r="O459" s="6">
        <v>45200.0</v>
      </c>
      <c r="P459" s="2" t="b">
        <v>1</v>
      </c>
      <c r="Q459" s="6">
        <f>IFERROR(__xludf.DUMMYFUNCTION("IF(ISDATE(O459),O459,L459)"),45200.0)</f>
        <v>45200</v>
      </c>
      <c r="R459" s="2">
        <v>112.0</v>
      </c>
      <c r="T459" s="6">
        <v>45200.0</v>
      </c>
    </row>
    <row r="460">
      <c r="A460" s="2" t="s">
        <v>562</v>
      </c>
      <c r="B460" s="2" t="s">
        <v>211</v>
      </c>
      <c r="C460" s="2" t="s">
        <v>18</v>
      </c>
      <c r="D460" s="2" t="s">
        <v>29</v>
      </c>
      <c r="E460" s="2">
        <v>3715.0</v>
      </c>
      <c r="F460" s="3">
        <v>45092.0</v>
      </c>
      <c r="G460" s="3">
        <v>45187.0</v>
      </c>
      <c r="H460" s="2">
        <v>4.57207514E8</v>
      </c>
      <c r="I460" s="2">
        <v>4.41944563E8</v>
      </c>
      <c r="J460" s="2" t="s">
        <v>20</v>
      </c>
      <c r="K460" s="2" t="s">
        <v>30</v>
      </c>
      <c r="L460" s="2">
        <v>159.0</v>
      </c>
      <c r="M460" s="2">
        <v>95.0</v>
      </c>
      <c r="N460" s="2">
        <v>123071.0</v>
      </c>
      <c r="O460" s="4">
        <v>45078.0</v>
      </c>
      <c r="P460" s="2" t="b">
        <v>1</v>
      </c>
      <c r="Q460" s="4">
        <f>IFERROR(__xludf.DUMMYFUNCTION("IF(ISDATE(O460),O460,L460)"),45078.0)</f>
        <v>45078</v>
      </c>
      <c r="R460" s="2">
        <v>159.0</v>
      </c>
      <c r="T460" s="4">
        <v>45078.0</v>
      </c>
    </row>
    <row r="461">
      <c r="A461" s="2" t="s">
        <v>563</v>
      </c>
      <c r="B461" s="2" t="s">
        <v>142</v>
      </c>
      <c r="C461" s="2" t="s">
        <v>18</v>
      </c>
      <c r="D461" s="2" t="s">
        <v>37</v>
      </c>
      <c r="E461" s="2">
        <v>527.0</v>
      </c>
      <c r="F461" s="3">
        <v>45528.0</v>
      </c>
      <c r="G461" s="3">
        <v>45658.0</v>
      </c>
      <c r="H461" s="2">
        <v>3.29694838E8</v>
      </c>
      <c r="I461" s="2">
        <v>3.13019463E8</v>
      </c>
      <c r="J461" s="2" t="s">
        <v>20</v>
      </c>
      <c r="K461" s="2" t="s">
        <v>21</v>
      </c>
      <c r="L461" s="2">
        <v>37.0</v>
      </c>
      <c r="M461" s="2">
        <v>130.0</v>
      </c>
      <c r="N461" s="2">
        <v>625607.0</v>
      </c>
      <c r="O461" s="4">
        <v>45505.0</v>
      </c>
      <c r="P461" s="2" t="b">
        <v>1</v>
      </c>
      <c r="Q461" s="4">
        <f>IFERROR(__xludf.DUMMYFUNCTION("IF(ISDATE(O461),O461,L461)"),45505.0)</f>
        <v>45505</v>
      </c>
      <c r="R461" s="2">
        <v>37.0</v>
      </c>
      <c r="T461" s="4">
        <v>45505.0</v>
      </c>
    </row>
    <row r="462">
      <c r="A462" s="2" t="s">
        <v>564</v>
      </c>
      <c r="B462" s="2" t="s">
        <v>23</v>
      </c>
      <c r="C462" s="2" t="s">
        <v>18</v>
      </c>
      <c r="D462" s="2" t="s">
        <v>37</v>
      </c>
      <c r="E462" s="2">
        <v>340.0</v>
      </c>
      <c r="F462" s="3">
        <v>45333.0</v>
      </c>
      <c r="G462" s="3">
        <v>45364.0</v>
      </c>
      <c r="H462" s="2">
        <v>2.56504825E8</v>
      </c>
      <c r="I462" s="2">
        <v>2.55404349E8</v>
      </c>
      <c r="J462" s="2" t="s">
        <v>20</v>
      </c>
      <c r="K462" s="2" t="s">
        <v>21</v>
      </c>
      <c r="L462" s="2">
        <v>11.0</v>
      </c>
      <c r="M462" s="2">
        <v>31.0</v>
      </c>
      <c r="N462" s="2">
        <v>754426.0</v>
      </c>
      <c r="O462" s="4">
        <v>45323.0</v>
      </c>
      <c r="P462" s="2" t="b">
        <v>1</v>
      </c>
      <c r="Q462" s="4">
        <f>IFERROR(__xludf.DUMMYFUNCTION("IF(ISDATE(O462),O462,L462)"),45323.0)</f>
        <v>45323</v>
      </c>
      <c r="R462" s="2">
        <v>11.0</v>
      </c>
      <c r="T462" s="4">
        <v>45323.0</v>
      </c>
    </row>
    <row r="463">
      <c r="A463" s="2" t="s">
        <v>565</v>
      </c>
      <c r="B463" s="2" t="s">
        <v>211</v>
      </c>
      <c r="C463" s="2" t="s">
        <v>57</v>
      </c>
      <c r="D463" s="2" t="s">
        <v>58</v>
      </c>
      <c r="E463" s="2">
        <v>245.0</v>
      </c>
      <c r="F463" s="3">
        <v>45195.0</v>
      </c>
      <c r="G463" s="3">
        <v>45231.0</v>
      </c>
      <c r="H463" s="2">
        <v>9.5893107E7</v>
      </c>
      <c r="I463" s="2">
        <v>1.01807353E8</v>
      </c>
      <c r="J463" s="2" t="s">
        <v>20</v>
      </c>
      <c r="K463" s="2" t="s">
        <v>30</v>
      </c>
      <c r="L463" s="2">
        <v>63.0</v>
      </c>
      <c r="M463" s="2">
        <v>36.0</v>
      </c>
      <c r="N463" s="2">
        <v>391400.0</v>
      </c>
      <c r="O463" s="4">
        <v>45170.0</v>
      </c>
      <c r="P463" s="2" t="b">
        <v>1</v>
      </c>
      <c r="Q463" s="4">
        <f>IFERROR(__xludf.DUMMYFUNCTION("IF(ISDATE(O463),O463,L463)"),45170.0)</f>
        <v>45170</v>
      </c>
      <c r="R463" s="2">
        <v>63.0</v>
      </c>
      <c r="T463" s="4">
        <v>45170.0</v>
      </c>
    </row>
    <row r="464">
      <c r="A464" s="2" t="s">
        <v>566</v>
      </c>
      <c r="B464" s="2" t="s">
        <v>265</v>
      </c>
      <c r="C464" s="2" t="s">
        <v>28</v>
      </c>
      <c r="D464" s="2" t="s">
        <v>37</v>
      </c>
      <c r="E464" s="2">
        <v>526.0</v>
      </c>
      <c r="F464" s="3">
        <v>45466.0</v>
      </c>
      <c r="G464" s="2">
        <v>8.49908656E8</v>
      </c>
      <c r="H464" s="2" t="s">
        <v>41</v>
      </c>
      <c r="I464" s="2" t="s">
        <v>30</v>
      </c>
      <c r="J464" s="2">
        <v>88.0</v>
      </c>
      <c r="K464" s="2">
        <v>1615796.0</v>
      </c>
      <c r="L464" s="4">
        <v>45444.0</v>
      </c>
      <c r="M464" s="2" t="b">
        <v>0</v>
      </c>
      <c r="Q464" s="4">
        <f>IFERROR(__xludf.DUMMYFUNCTION("IF(ISDATE(O464),O464,L464)"),45444.0)</f>
        <v>45444</v>
      </c>
      <c r="R464" s="2">
        <v>88.0</v>
      </c>
      <c r="T464" s="4">
        <v>45444.0</v>
      </c>
    </row>
    <row r="465">
      <c r="A465" s="2" t="s">
        <v>567</v>
      </c>
      <c r="B465" s="2" t="s">
        <v>63</v>
      </c>
      <c r="C465" s="2" t="s">
        <v>40</v>
      </c>
      <c r="D465" s="2" t="s">
        <v>81</v>
      </c>
      <c r="E465" s="2">
        <v>4828.0</v>
      </c>
      <c r="F465" s="3">
        <v>45382.0</v>
      </c>
      <c r="G465" s="3">
        <v>45575.0</v>
      </c>
      <c r="H465" s="2">
        <v>7.71790822E8</v>
      </c>
      <c r="I465" s="2">
        <v>7.83007218E8</v>
      </c>
      <c r="J465" s="2" t="s">
        <v>20</v>
      </c>
      <c r="K465" s="2" t="s">
        <v>73</v>
      </c>
      <c r="L465" s="2">
        <v>166.0</v>
      </c>
      <c r="M465" s="2">
        <v>193.0</v>
      </c>
      <c r="N465" s="2">
        <v>159857.0</v>
      </c>
      <c r="O465" s="4">
        <v>45352.0</v>
      </c>
      <c r="P465" s="2" t="b">
        <v>1</v>
      </c>
      <c r="Q465" s="4">
        <f>IFERROR(__xludf.DUMMYFUNCTION("IF(ISDATE(O465),O465,L465)"),45352.0)</f>
        <v>45352</v>
      </c>
      <c r="R465" s="2">
        <v>166.0</v>
      </c>
      <c r="T465" s="4">
        <v>45352.0</v>
      </c>
    </row>
    <row r="466">
      <c r="A466" s="2" t="s">
        <v>568</v>
      </c>
      <c r="B466" s="2" t="s">
        <v>165</v>
      </c>
      <c r="C466" s="2" t="s">
        <v>57</v>
      </c>
      <c r="D466" s="2" t="s">
        <v>29</v>
      </c>
      <c r="E466" s="2">
        <v>3963.0</v>
      </c>
      <c r="F466" s="3">
        <v>45581.0</v>
      </c>
      <c r="G466" s="3">
        <v>45684.0</v>
      </c>
      <c r="H466" s="2">
        <v>5.95017251E8</v>
      </c>
      <c r="I466" s="2">
        <v>5.69039125E8</v>
      </c>
      <c r="J466" s="2" t="s">
        <v>20</v>
      </c>
      <c r="K466" s="2" t="s">
        <v>21</v>
      </c>
      <c r="L466" s="2">
        <v>118.0</v>
      </c>
      <c r="M466" s="2">
        <v>103.0</v>
      </c>
      <c r="N466" s="2">
        <v>150143.0</v>
      </c>
      <c r="O466" s="6">
        <v>45566.0</v>
      </c>
      <c r="P466" s="2" t="b">
        <v>1</v>
      </c>
      <c r="Q466" s="6">
        <f>IFERROR(__xludf.DUMMYFUNCTION("IF(ISDATE(O466),O466,L466)"),45566.0)</f>
        <v>45566</v>
      </c>
      <c r="R466" s="2">
        <v>118.0</v>
      </c>
      <c r="T466" s="6">
        <v>45566.0</v>
      </c>
    </row>
    <row r="467">
      <c r="A467" s="2" t="s">
        <v>569</v>
      </c>
      <c r="B467" s="2" t="s">
        <v>160</v>
      </c>
      <c r="C467" s="2" t="s">
        <v>24</v>
      </c>
      <c r="D467" s="2" t="s">
        <v>49</v>
      </c>
      <c r="E467" s="2">
        <v>116.0</v>
      </c>
      <c r="F467" s="3">
        <v>44937.0</v>
      </c>
      <c r="G467" s="3">
        <v>45146.0</v>
      </c>
      <c r="H467" s="2">
        <v>1.25529692E8</v>
      </c>
      <c r="I467" s="2">
        <v>1.22394159E8</v>
      </c>
      <c r="J467" s="2" t="s">
        <v>20</v>
      </c>
      <c r="K467" s="2" t="s">
        <v>73</v>
      </c>
      <c r="L467" s="2">
        <v>141.0</v>
      </c>
      <c r="M467" s="2">
        <v>209.0</v>
      </c>
      <c r="N467" s="2">
        <v>1082153.0</v>
      </c>
      <c r="O467" s="4">
        <v>44927.0</v>
      </c>
      <c r="P467" s="2" t="b">
        <v>1</v>
      </c>
      <c r="Q467" s="4">
        <f>IFERROR(__xludf.DUMMYFUNCTION("IF(ISDATE(O467),O467,L467)"),44927.0)</f>
        <v>44927</v>
      </c>
      <c r="R467" s="2">
        <v>141.0</v>
      </c>
      <c r="T467" s="4">
        <v>44927.0</v>
      </c>
    </row>
    <row r="468">
      <c r="A468" s="2" t="s">
        <v>570</v>
      </c>
      <c r="B468" s="2" t="s">
        <v>92</v>
      </c>
      <c r="C468" s="2" t="s">
        <v>28</v>
      </c>
      <c r="D468" s="2" t="s">
        <v>81</v>
      </c>
      <c r="E468" s="2">
        <v>4308.0</v>
      </c>
      <c r="F468" s="3">
        <v>45711.0</v>
      </c>
      <c r="G468" s="3">
        <v>45800.0</v>
      </c>
      <c r="H468" s="2">
        <v>2.392184001E9</v>
      </c>
      <c r="I468" s="2">
        <v>2.505771551E9</v>
      </c>
      <c r="J468" s="2" t="s">
        <v>20</v>
      </c>
      <c r="K468" s="2" t="s">
        <v>25</v>
      </c>
      <c r="L468" s="2">
        <v>100.0</v>
      </c>
      <c r="M468" s="2">
        <v>89.0</v>
      </c>
      <c r="N468" s="2">
        <v>555289.0</v>
      </c>
      <c r="O468" s="4">
        <v>45689.0</v>
      </c>
      <c r="P468" s="2" t="b">
        <v>1</v>
      </c>
      <c r="Q468" s="4">
        <f>IFERROR(__xludf.DUMMYFUNCTION("IF(ISDATE(O468),O468,L468)"),45689.0)</f>
        <v>45689</v>
      </c>
      <c r="R468" s="2">
        <v>100.0</v>
      </c>
      <c r="T468" s="4">
        <v>45689.0</v>
      </c>
    </row>
    <row r="469">
      <c r="A469" s="2" t="s">
        <v>571</v>
      </c>
      <c r="B469" s="2" t="s">
        <v>323</v>
      </c>
      <c r="C469" s="2" t="s">
        <v>28</v>
      </c>
      <c r="D469" s="2" t="s">
        <v>58</v>
      </c>
      <c r="E469" s="2">
        <v>161.0</v>
      </c>
      <c r="F469" s="3">
        <v>45094.0</v>
      </c>
      <c r="G469" s="2">
        <v>1.51421546E8</v>
      </c>
      <c r="H469" s="2" t="s">
        <v>34</v>
      </c>
      <c r="I469" s="2" t="s">
        <v>73</v>
      </c>
      <c r="J469" s="2">
        <v>61.0</v>
      </c>
      <c r="K469" s="2">
        <v>940506.0</v>
      </c>
      <c r="L469" s="4">
        <v>45078.0</v>
      </c>
      <c r="M469" s="2" t="b">
        <v>0</v>
      </c>
      <c r="Q469" s="4">
        <f>IFERROR(__xludf.DUMMYFUNCTION("IF(ISDATE(O469),O469,L469)"),45078.0)</f>
        <v>45078</v>
      </c>
      <c r="R469" s="2">
        <v>61.0</v>
      </c>
      <c r="T469" s="4">
        <v>45078.0</v>
      </c>
    </row>
    <row r="470">
      <c r="A470" s="2" t="s">
        <v>572</v>
      </c>
      <c r="B470" s="2" t="s">
        <v>183</v>
      </c>
      <c r="C470" s="2" t="s">
        <v>24</v>
      </c>
      <c r="D470" s="2" t="s">
        <v>49</v>
      </c>
      <c r="E470" s="2">
        <v>210.0</v>
      </c>
      <c r="F470" s="3">
        <v>45709.0</v>
      </c>
      <c r="G470" s="2">
        <v>2.24166028E8</v>
      </c>
      <c r="H470" s="2" t="s">
        <v>34</v>
      </c>
      <c r="I470" s="2" t="s">
        <v>30</v>
      </c>
      <c r="J470" s="2">
        <v>77.0</v>
      </c>
      <c r="K470" s="2">
        <v>1067457.0</v>
      </c>
      <c r="L470" s="4">
        <v>45689.0</v>
      </c>
      <c r="M470" s="2" t="b">
        <v>0</v>
      </c>
      <c r="Q470" s="4">
        <f>IFERROR(__xludf.DUMMYFUNCTION("IF(ISDATE(O470),O470,L470)"),45689.0)</f>
        <v>45689</v>
      </c>
      <c r="R470" s="2">
        <v>77.0</v>
      </c>
      <c r="T470" s="4">
        <v>45689.0</v>
      </c>
    </row>
    <row r="471">
      <c r="A471" s="2" t="s">
        <v>573</v>
      </c>
      <c r="B471" s="2" t="s">
        <v>39</v>
      </c>
      <c r="C471" s="2" t="s">
        <v>18</v>
      </c>
      <c r="D471" s="2" t="s">
        <v>58</v>
      </c>
      <c r="E471" s="2">
        <v>257.0</v>
      </c>
      <c r="F471" s="3">
        <v>45119.0</v>
      </c>
      <c r="G471" s="2">
        <v>7.1608444E7</v>
      </c>
      <c r="H471" s="2" t="s">
        <v>41</v>
      </c>
      <c r="I471" s="2" t="s">
        <v>21</v>
      </c>
      <c r="J471" s="2">
        <v>168.0</v>
      </c>
      <c r="K471" s="2">
        <v>278632.0</v>
      </c>
      <c r="L471" s="4">
        <v>45108.0</v>
      </c>
      <c r="M471" s="2" t="b">
        <v>0</v>
      </c>
      <c r="Q471" s="4">
        <f>IFERROR(__xludf.DUMMYFUNCTION("IF(ISDATE(O471),O471,L471)"),45108.0)</f>
        <v>45108</v>
      </c>
      <c r="R471" s="2">
        <v>168.0</v>
      </c>
      <c r="T471" s="4">
        <v>45108.0</v>
      </c>
    </row>
    <row r="472">
      <c r="A472" s="2" t="s">
        <v>574</v>
      </c>
      <c r="B472" s="2" t="s">
        <v>208</v>
      </c>
      <c r="C472" s="2" t="s">
        <v>64</v>
      </c>
      <c r="D472" s="2" t="s">
        <v>81</v>
      </c>
      <c r="E472" s="2">
        <v>2629.0</v>
      </c>
      <c r="F472" s="3">
        <v>45119.0</v>
      </c>
      <c r="G472" s="3">
        <v>45172.0</v>
      </c>
      <c r="H472" s="2">
        <v>6.17447633E8</v>
      </c>
      <c r="I472" s="2">
        <v>6.2090245E8</v>
      </c>
      <c r="J472" s="2" t="s">
        <v>20</v>
      </c>
      <c r="K472" s="2" t="s">
        <v>42</v>
      </c>
      <c r="L472" s="2">
        <v>31.0</v>
      </c>
      <c r="M472" s="2">
        <v>53.0</v>
      </c>
      <c r="N472" s="2">
        <v>234860.0</v>
      </c>
      <c r="O472" s="4">
        <v>45108.0</v>
      </c>
      <c r="P472" s="2" t="b">
        <v>1</v>
      </c>
      <c r="Q472" s="4">
        <f>IFERROR(__xludf.DUMMYFUNCTION("IF(ISDATE(O472),O472,L472)"),45108.0)</f>
        <v>45108</v>
      </c>
      <c r="R472" s="2">
        <v>31.0</v>
      </c>
      <c r="T472" s="4">
        <v>45108.0</v>
      </c>
    </row>
    <row r="473">
      <c r="A473" s="2" t="s">
        <v>575</v>
      </c>
      <c r="B473" s="2" t="s">
        <v>27</v>
      </c>
      <c r="C473" s="2" t="s">
        <v>24</v>
      </c>
      <c r="D473" s="2" t="s">
        <v>102</v>
      </c>
      <c r="E473" s="2">
        <v>156.0</v>
      </c>
      <c r="F473" s="3">
        <v>45019.0</v>
      </c>
      <c r="G473" s="3">
        <v>45160.0</v>
      </c>
      <c r="H473" s="2">
        <v>1.18748935E8</v>
      </c>
      <c r="I473" s="2">
        <v>1.17233566E8</v>
      </c>
      <c r="J473" s="2" t="s">
        <v>20</v>
      </c>
      <c r="K473" s="2" t="s">
        <v>73</v>
      </c>
      <c r="L473" s="2">
        <v>100.0</v>
      </c>
      <c r="M473" s="2">
        <v>141.0</v>
      </c>
      <c r="N473" s="2">
        <v>761211.0</v>
      </c>
      <c r="O473" s="4">
        <v>45017.0</v>
      </c>
      <c r="P473" s="2" t="b">
        <v>1</v>
      </c>
      <c r="Q473" s="4">
        <f>IFERROR(__xludf.DUMMYFUNCTION("IF(ISDATE(O473),O473,L473)"),45017.0)</f>
        <v>45017</v>
      </c>
      <c r="R473" s="2">
        <v>100.0</v>
      </c>
      <c r="T473" s="4">
        <v>45017.0</v>
      </c>
    </row>
    <row r="474">
      <c r="A474" s="2" t="s">
        <v>576</v>
      </c>
      <c r="B474" s="2" t="s">
        <v>227</v>
      </c>
      <c r="C474" s="2" t="s">
        <v>64</v>
      </c>
      <c r="D474" s="2" t="s">
        <v>19</v>
      </c>
      <c r="E474" s="2">
        <v>50.0</v>
      </c>
      <c r="F474" s="3">
        <v>44984.0</v>
      </c>
      <c r="G474" s="3">
        <v>45099.0</v>
      </c>
      <c r="H474" s="2">
        <v>1.6802342E7</v>
      </c>
      <c r="I474" s="2">
        <v>1.6722085E7</v>
      </c>
      <c r="J474" s="2" t="s">
        <v>20</v>
      </c>
      <c r="K474" s="2" t="s">
        <v>42</v>
      </c>
      <c r="L474" s="2">
        <v>69.0</v>
      </c>
      <c r="M474" s="2">
        <v>115.0</v>
      </c>
      <c r="N474" s="2">
        <v>336047.0</v>
      </c>
      <c r="O474" s="4">
        <v>44958.0</v>
      </c>
      <c r="P474" s="2" t="b">
        <v>1</v>
      </c>
      <c r="Q474" s="4">
        <f>IFERROR(__xludf.DUMMYFUNCTION("IF(ISDATE(O474),O474,L474)"),44958.0)</f>
        <v>44958</v>
      </c>
      <c r="R474" s="2">
        <v>69.0</v>
      </c>
      <c r="T474" s="4">
        <v>44958.0</v>
      </c>
    </row>
    <row r="475">
      <c r="A475" s="2" t="s">
        <v>577</v>
      </c>
      <c r="B475" s="2" t="s">
        <v>132</v>
      </c>
      <c r="C475" s="2" t="s">
        <v>57</v>
      </c>
      <c r="D475" s="2" t="s">
        <v>19</v>
      </c>
      <c r="E475" s="2">
        <v>43.0</v>
      </c>
      <c r="F475" s="3">
        <v>45716.0</v>
      </c>
      <c r="G475" s="2">
        <v>1.3392476E7</v>
      </c>
      <c r="H475" s="2" t="s">
        <v>41</v>
      </c>
      <c r="I475" s="2" t="s">
        <v>21</v>
      </c>
      <c r="J475" s="2">
        <v>55.0</v>
      </c>
      <c r="K475" s="2">
        <v>311453.0</v>
      </c>
      <c r="L475" s="4">
        <v>45689.0</v>
      </c>
      <c r="M475" s="2" t="b">
        <v>0</v>
      </c>
      <c r="Q475" s="4">
        <f>IFERROR(__xludf.DUMMYFUNCTION("IF(ISDATE(O475),O475,L475)"),45689.0)</f>
        <v>45689</v>
      </c>
      <c r="R475" s="2">
        <v>55.0</v>
      </c>
      <c r="T475" s="4">
        <v>45689.0</v>
      </c>
    </row>
    <row r="476">
      <c r="A476" s="2" t="s">
        <v>578</v>
      </c>
      <c r="B476" s="2" t="s">
        <v>132</v>
      </c>
      <c r="C476" s="2" t="s">
        <v>64</v>
      </c>
      <c r="D476" s="2" t="s">
        <v>33</v>
      </c>
      <c r="E476" s="2">
        <v>98.0</v>
      </c>
      <c r="F476" s="3">
        <v>45325.0</v>
      </c>
      <c r="G476" s="2">
        <v>5.3999836E7</v>
      </c>
      <c r="H476" s="2" t="s">
        <v>69</v>
      </c>
      <c r="I476" s="2" t="s">
        <v>42</v>
      </c>
      <c r="J476" s="2">
        <v>166.0</v>
      </c>
      <c r="K476" s="2">
        <v>551019.0</v>
      </c>
      <c r="L476" s="4">
        <v>45323.0</v>
      </c>
      <c r="M476" s="2" t="b">
        <v>0</v>
      </c>
      <c r="Q476" s="4">
        <f>IFERROR(__xludf.DUMMYFUNCTION("IF(ISDATE(O476),O476,L476)"),45323.0)</f>
        <v>45323</v>
      </c>
      <c r="R476" s="2">
        <v>166.0</v>
      </c>
      <c r="T476" s="4">
        <v>45323.0</v>
      </c>
    </row>
    <row r="477">
      <c r="A477" s="2" t="s">
        <v>579</v>
      </c>
      <c r="B477" s="2" t="s">
        <v>99</v>
      </c>
      <c r="C477" s="2" t="s">
        <v>18</v>
      </c>
      <c r="D477" s="2" t="s">
        <v>58</v>
      </c>
      <c r="E477" s="2">
        <v>183.0</v>
      </c>
      <c r="F477" s="3">
        <v>45419.0</v>
      </c>
      <c r="G477" s="3">
        <v>45484.0</v>
      </c>
      <c r="H477" s="2">
        <v>5.6035435E7</v>
      </c>
      <c r="I477" s="2">
        <v>5.2019599E7</v>
      </c>
      <c r="J477" s="2" t="s">
        <v>20</v>
      </c>
      <c r="K477" s="2" t="s">
        <v>42</v>
      </c>
      <c r="L477" s="2">
        <v>33.0</v>
      </c>
      <c r="M477" s="2">
        <v>65.0</v>
      </c>
      <c r="N477" s="2">
        <v>306205.0</v>
      </c>
      <c r="O477" s="4">
        <v>45413.0</v>
      </c>
      <c r="P477" s="2" t="b">
        <v>1</v>
      </c>
      <c r="Q477" s="4">
        <f>IFERROR(__xludf.DUMMYFUNCTION("IF(ISDATE(O477),O477,L477)"),45413.0)</f>
        <v>45413</v>
      </c>
      <c r="R477" s="2">
        <v>33.0</v>
      </c>
      <c r="T477" s="4">
        <v>45413.0</v>
      </c>
    </row>
    <row r="478">
      <c r="A478" s="2" t="s">
        <v>580</v>
      </c>
      <c r="B478" s="2" t="s">
        <v>27</v>
      </c>
      <c r="C478" s="2" t="s">
        <v>28</v>
      </c>
      <c r="D478" s="2" t="s">
        <v>49</v>
      </c>
      <c r="E478" s="2">
        <v>133.0</v>
      </c>
      <c r="F478" s="3">
        <v>45740.0</v>
      </c>
      <c r="G478" s="3">
        <v>45785.0</v>
      </c>
      <c r="H478" s="2">
        <v>1.59587331E8</v>
      </c>
      <c r="I478" s="2">
        <v>1.5302738E8</v>
      </c>
      <c r="J478" s="2" t="s">
        <v>20</v>
      </c>
      <c r="K478" s="2" t="s">
        <v>21</v>
      </c>
      <c r="L478" s="2">
        <v>153.0</v>
      </c>
      <c r="M478" s="2">
        <v>45.0</v>
      </c>
      <c r="N478" s="2">
        <v>1199905.0</v>
      </c>
      <c r="O478" s="4">
        <v>45717.0</v>
      </c>
      <c r="P478" s="2" t="b">
        <v>1</v>
      </c>
      <c r="Q478" s="4">
        <f>IFERROR(__xludf.DUMMYFUNCTION("IF(ISDATE(O478),O478,L478)"),45717.0)</f>
        <v>45717</v>
      </c>
      <c r="R478" s="2">
        <v>153.0</v>
      </c>
      <c r="T478" s="4">
        <v>45717.0</v>
      </c>
    </row>
    <row r="479">
      <c r="A479" s="2" t="s">
        <v>581</v>
      </c>
      <c r="B479" s="2" t="s">
        <v>54</v>
      </c>
      <c r="C479" s="2" t="s">
        <v>57</v>
      </c>
      <c r="D479" s="2" t="s">
        <v>81</v>
      </c>
      <c r="E479" s="2">
        <v>1669.0</v>
      </c>
      <c r="F479" s="3">
        <v>45181.0</v>
      </c>
      <c r="G479" s="3">
        <v>45219.0</v>
      </c>
      <c r="H479" s="2">
        <v>3.60304635E8</v>
      </c>
      <c r="I479" s="2">
        <v>3.50989872E8</v>
      </c>
      <c r="J479" s="2" t="s">
        <v>20</v>
      </c>
      <c r="K479" s="2" t="s">
        <v>21</v>
      </c>
      <c r="L479" s="2">
        <v>20.0</v>
      </c>
      <c r="M479" s="2">
        <v>38.0</v>
      </c>
      <c r="N479" s="2">
        <v>215881.0</v>
      </c>
      <c r="O479" s="4">
        <v>45170.0</v>
      </c>
      <c r="P479" s="2" t="b">
        <v>1</v>
      </c>
      <c r="Q479" s="4">
        <f>IFERROR(__xludf.DUMMYFUNCTION("IF(ISDATE(O479),O479,L479)"),45170.0)</f>
        <v>45170</v>
      </c>
      <c r="R479" s="2">
        <v>20.0</v>
      </c>
      <c r="T479" s="4">
        <v>45170.0</v>
      </c>
    </row>
    <row r="480">
      <c r="A480" s="2" t="s">
        <v>582</v>
      </c>
      <c r="B480" s="2" t="s">
        <v>227</v>
      </c>
      <c r="C480" s="2" t="s">
        <v>24</v>
      </c>
      <c r="D480" s="2" t="s">
        <v>102</v>
      </c>
      <c r="E480" s="2">
        <v>168.0</v>
      </c>
      <c r="F480" s="3">
        <v>45426.0</v>
      </c>
      <c r="G480" s="3">
        <v>45583.0</v>
      </c>
      <c r="H480" s="2">
        <v>1.59080475E8</v>
      </c>
      <c r="I480" s="2">
        <v>1.65614165E8</v>
      </c>
      <c r="J480" s="2" t="s">
        <v>20</v>
      </c>
      <c r="K480" s="2" t="s">
        <v>73</v>
      </c>
      <c r="L480" s="2">
        <v>54.0</v>
      </c>
      <c r="M480" s="2">
        <v>157.0</v>
      </c>
      <c r="N480" s="2">
        <v>946908.0</v>
      </c>
      <c r="O480" s="4">
        <v>45413.0</v>
      </c>
      <c r="P480" s="2" t="b">
        <v>1</v>
      </c>
      <c r="Q480" s="4">
        <f>IFERROR(__xludf.DUMMYFUNCTION("IF(ISDATE(O480),O480,L480)"),45413.0)</f>
        <v>45413</v>
      </c>
      <c r="R480" s="2">
        <v>54.0</v>
      </c>
      <c r="T480" s="4">
        <v>45413.0</v>
      </c>
    </row>
    <row r="481">
      <c r="A481" s="2" t="s">
        <v>583</v>
      </c>
      <c r="B481" s="2" t="s">
        <v>160</v>
      </c>
      <c r="C481" s="2" t="s">
        <v>28</v>
      </c>
      <c r="D481" s="2" t="s">
        <v>49</v>
      </c>
      <c r="E481" s="2">
        <v>141.0</v>
      </c>
      <c r="F481" s="3">
        <v>45847.0</v>
      </c>
      <c r="G481" s="3">
        <v>46042.0</v>
      </c>
      <c r="H481" s="2">
        <v>1.7198475E8</v>
      </c>
      <c r="I481" s="2">
        <v>1.66335796E8</v>
      </c>
      <c r="J481" s="2" t="s">
        <v>20</v>
      </c>
      <c r="K481" s="2" t="s">
        <v>73</v>
      </c>
      <c r="L481" s="2">
        <v>53.0</v>
      </c>
      <c r="M481" s="2">
        <v>195.0</v>
      </c>
      <c r="N481" s="2">
        <v>1219750.0</v>
      </c>
      <c r="O481" s="4">
        <v>45839.0</v>
      </c>
      <c r="P481" s="2" t="b">
        <v>1</v>
      </c>
      <c r="Q481" s="4">
        <f>IFERROR(__xludf.DUMMYFUNCTION("IF(ISDATE(O481),O481,L481)"),45839.0)</f>
        <v>45839</v>
      </c>
      <c r="R481" s="2">
        <v>53.0</v>
      </c>
      <c r="T481" s="4">
        <v>45839.0</v>
      </c>
    </row>
    <row r="482">
      <c r="A482" s="2" t="s">
        <v>584</v>
      </c>
      <c r="B482" s="2" t="s">
        <v>142</v>
      </c>
      <c r="C482" s="2" t="s">
        <v>64</v>
      </c>
      <c r="D482" s="2" t="s">
        <v>58</v>
      </c>
      <c r="E482" s="2">
        <v>139.0</v>
      </c>
      <c r="F482" s="3">
        <v>45406.0</v>
      </c>
      <c r="G482" s="3">
        <v>45574.0</v>
      </c>
      <c r="H482" s="2">
        <v>8.3652403E7</v>
      </c>
      <c r="I482" s="2">
        <v>8.4382123E7</v>
      </c>
      <c r="J482" s="2" t="s">
        <v>20</v>
      </c>
      <c r="K482" s="2" t="s">
        <v>21</v>
      </c>
      <c r="L482" s="2">
        <v>140.0</v>
      </c>
      <c r="M482" s="2">
        <v>168.0</v>
      </c>
      <c r="N482" s="2">
        <v>601816.0</v>
      </c>
      <c r="O482" s="4">
        <v>45383.0</v>
      </c>
      <c r="P482" s="2" t="b">
        <v>1</v>
      </c>
      <c r="Q482" s="4">
        <f>IFERROR(__xludf.DUMMYFUNCTION("IF(ISDATE(O482),O482,L482)"),45383.0)</f>
        <v>45383</v>
      </c>
      <c r="R482" s="2">
        <v>140.0</v>
      </c>
      <c r="T482" s="4">
        <v>45383.0</v>
      </c>
    </row>
    <row r="483">
      <c r="A483" s="2" t="s">
        <v>585</v>
      </c>
      <c r="B483" s="2" t="s">
        <v>201</v>
      </c>
      <c r="C483" s="2" t="s">
        <v>28</v>
      </c>
      <c r="D483" s="2" t="s">
        <v>37</v>
      </c>
      <c r="E483" s="2">
        <v>434.0</v>
      </c>
      <c r="F483" s="3">
        <v>45391.0</v>
      </c>
      <c r="G483" s="3">
        <v>45569.0</v>
      </c>
      <c r="H483" s="2">
        <v>8.5409307E8</v>
      </c>
      <c r="I483" s="2">
        <v>8.86023543E8</v>
      </c>
      <c r="J483" s="2" t="s">
        <v>20</v>
      </c>
      <c r="K483" s="2" t="s">
        <v>21</v>
      </c>
      <c r="L483" s="2">
        <v>163.0</v>
      </c>
      <c r="M483" s="2">
        <v>178.0</v>
      </c>
      <c r="N483" s="2">
        <v>1967956.0</v>
      </c>
      <c r="O483" s="4">
        <v>45383.0</v>
      </c>
      <c r="P483" s="2" t="b">
        <v>1</v>
      </c>
      <c r="Q483" s="4">
        <f>IFERROR(__xludf.DUMMYFUNCTION("IF(ISDATE(O483),O483,L483)"),45383.0)</f>
        <v>45383</v>
      </c>
      <c r="R483" s="2">
        <v>163.0</v>
      </c>
      <c r="T483" s="4">
        <v>45383.0</v>
      </c>
    </row>
    <row r="484">
      <c r="A484" s="2" t="s">
        <v>586</v>
      </c>
      <c r="B484" s="2" t="s">
        <v>142</v>
      </c>
      <c r="C484" s="2" t="s">
        <v>40</v>
      </c>
      <c r="D484" s="2" t="s">
        <v>29</v>
      </c>
      <c r="E484" s="2">
        <v>2356.0</v>
      </c>
      <c r="F484" s="3">
        <v>44991.0</v>
      </c>
      <c r="G484" s="3">
        <v>45143.0</v>
      </c>
      <c r="H484" s="2">
        <v>3.12128152E8</v>
      </c>
      <c r="I484" s="2">
        <v>2.96640076E8</v>
      </c>
      <c r="J484" s="2" t="s">
        <v>20</v>
      </c>
      <c r="K484" s="2" t="s">
        <v>73</v>
      </c>
      <c r="L484" s="2">
        <v>146.0</v>
      </c>
      <c r="M484" s="2">
        <v>152.0</v>
      </c>
      <c r="N484" s="2">
        <v>132482.0</v>
      </c>
      <c r="O484" s="4">
        <v>44986.0</v>
      </c>
      <c r="P484" s="2" t="b">
        <v>1</v>
      </c>
      <c r="Q484" s="4">
        <f>IFERROR(__xludf.DUMMYFUNCTION("IF(ISDATE(O484),O484,L484)"),44986.0)</f>
        <v>44986</v>
      </c>
      <c r="R484" s="2">
        <v>146.0</v>
      </c>
      <c r="T484" s="4">
        <v>44986.0</v>
      </c>
    </row>
    <row r="485">
      <c r="A485" s="2" t="s">
        <v>587</v>
      </c>
      <c r="B485" s="2" t="s">
        <v>113</v>
      </c>
      <c r="C485" s="2" t="s">
        <v>28</v>
      </c>
      <c r="D485" s="2" t="s">
        <v>37</v>
      </c>
      <c r="E485" s="2">
        <v>465.0</v>
      </c>
      <c r="F485" s="3">
        <v>45256.0</v>
      </c>
      <c r="G485" s="3">
        <v>45404.0</v>
      </c>
      <c r="H485" s="2">
        <v>9.68292978E8</v>
      </c>
      <c r="I485" s="2">
        <v>8.97611814E8</v>
      </c>
      <c r="J485" s="2" t="s">
        <v>20</v>
      </c>
      <c r="K485" s="2" t="s">
        <v>42</v>
      </c>
      <c r="L485" s="2">
        <v>50.0</v>
      </c>
      <c r="M485" s="2">
        <v>148.0</v>
      </c>
      <c r="N485" s="2">
        <v>2082350.0</v>
      </c>
      <c r="O485" s="6">
        <v>45231.0</v>
      </c>
      <c r="P485" s="2" t="b">
        <v>1</v>
      </c>
      <c r="Q485" s="6">
        <f>IFERROR(__xludf.DUMMYFUNCTION("IF(ISDATE(O485),O485,L485)"),45231.0)</f>
        <v>45231</v>
      </c>
      <c r="R485" s="2">
        <v>50.0</v>
      </c>
      <c r="T485" s="6">
        <v>45231.0</v>
      </c>
    </row>
    <row r="486">
      <c r="A486" s="2" t="s">
        <v>588</v>
      </c>
      <c r="B486" s="2" t="s">
        <v>48</v>
      </c>
      <c r="C486" s="2" t="s">
        <v>40</v>
      </c>
      <c r="D486" s="2" t="s">
        <v>72</v>
      </c>
      <c r="E486" s="2">
        <v>207.0</v>
      </c>
      <c r="F486" s="3">
        <v>45028.0</v>
      </c>
      <c r="G486" s="3">
        <v>45207.0</v>
      </c>
      <c r="H486" s="2">
        <v>1.1033802E8</v>
      </c>
      <c r="I486" s="2">
        <v>1.13125975E8</v>
      </c>
      <c r="J486" s="2" t="s">
        <v>20</v>
      </c>
      <c r="K486" s="2" t="s">
        <v>25</v>
      </c>
      <c r="L486" s="2">
        <v>164.0</v>
      </c>
      <c r="M486" s="2">
        <v>179.0</v>
      </c>
      <c r="N486" s="2">
        <v>533034.0</v>
      </c>
      <c r="O486" s="4">
        <v>45017.0</v>
      </c>
      <c r="P486" s="2" t="b">
        <v>1</v>
      </c>
      <c r="Q486" s="4">
        <f>IFERROR(__xludf.DUMMYFUNCTION("IF(ISDATE(O486),O486,L486)"),45017.0)</f>
        <v>45017</v>
      </c>
      <c r="R486" s="2">
        <v>164.0</v>
      </c>
      <c r="T486" s="4">
        <v>45017.0</v>
      </c>
    </row>
    <row r="487">
      <c r="A487" s="2" t="s">
        <v>589</v>
      </c>
      <c r="B487" s="2" t="s">
        <v>88</v>
      </c>
      <c r="C487" s="2" t="s">
        <v>18</v>
      </c>
      <c r="D487" s="2" t="s">
        <v>37</v>
      </c>
      <c r="E487" s="2">
        <v>325.0</v>
      </c>
      <c r="F487" s="3">
        <v>45547.0</v>
      </c>
      <c r="G487" s="2">
        <v>2.44661299E8</v>
      </c>
      <c r="H487" s="2" t="s">
        <v>41</v>
      </c>
      <c r="I487" s="2" t="s">
        <v>42</v>
      </c>
      <c r="J487" s="2">
        <v>172.0</v>
      </c>
      <c r="K487" s="2">
        <v>752804.0</v>
      </c>
      <c r="L487" s="4">
        <v>45536.0</v>
      </c>
      <c r="M487" s="2" t="b">
        <v>0</v>
      </c>
      <c r="Q487" s="4">
        <f>IFERROR(__xludf.DUMMYFUNCTION("IF(ISDATE(O487),O487,L487)"),45536.0)</f>
        <v>45536</v>
      </c>
      <c r="R487" s="2">
        <v>172.0</v>
      </c>
      <c r="T487" s="4">
        <v>45536.0</v>
      </c>
    </row>
    <row r="488">
      <c r="A488" s="2" t="s">
        <v>590</v>
      </c>
      <c r="B488" s="2" t="s">
        <v>46</v>
      </c>
      <c r="C488" s="2" t="s">
        <v>64</v>
      </c>
      <c r="D488" s="2" t="s">
        <v>33</v>
      </c>
      <c r="E488" s="2">
        <v>94.0</v>
      </c>
      <c r="F488" s="3">
        <v>45498.0</v>
      </c>
      <c r="G488" s="2">
        <v>4.9863688E7</v>
      </c>
      <c r="H488" s="2" t="s">
        <v>69</v>
      </c>
      <c r="I488" s="2" t="s">
        <v>21</v>
      </c>
      <c r="J488" s="2">
        <v>162.0</v>
      </c>
      <c r="K488" s="2">
        <v>530465.0</v>
      </c>
      <c r="L488" s="4">
        <v>45474.0</v>
      </c>
      <c r="M488" s="2" t="b">
        <v>0</v>
      </c>
      <c r="Q488" s="4">
        <f>IFERROR(__xludf.DUMMYFUNCTION("IF(ISDATE(O488),O488,L488)"),45474.0)</f>
        <v>45474</v>
      </c>
      <c r="R488" s="2">
        <v>162.0</v>
      </c>
      <c r="T488" s="4">
        <v>45474.0</v>
      </c>
    </row>
    <row r="489">
      <c r="A489" s="2" t="s">
        <v>591</v>
      </c>
      <c r="B489" s="2" t="s">
        <v>99</v>
      </c>
      <c r="C489" s="2" t="s">
        <v>24</v>
      </c>
      <c r="D489" s="2" t="s">
        <v>19</v>
      </c>
      <c r="E489" s="2">
        <v>63.0</v>
      </c>
      <c r="F489" s="3">
        <v>45006.0</v>
      </c>
      <c r="G489" s="2">
        <v>3.0938566E7</v>
      </c>
      <c r="H489" s="2" t="s">
        <v>34</v>
      </c>
      <c r="I489" s="2" t="s">
        <v>42</v>
      </c>
      <c r="J489" s="2">
        <v>141.0</v>
      </c>
      <c r="K489" s="2">
        <v>491088.0</v>
      </c>
      <c r="L489" s="4">
        <v>44986.0</v>
      </c>
      <c r="M489" s="2" t="b">
        <v>0</v>
      </c>
      <c r="Q489" s="4">
        <f>IFERROR(__xludf.DUMMYFUNCTION("IF(ISDATE(O489),O489,L489)"),44986.0)</f>
        <v>44986</v>
      </c>
      <c r="R489" s="2">
        <v>141.0</v>
      </c>
      <c r="T489" s="4">
        <v>44986.0</v>
      </c>
    </row>
    <row r="490">
      <c r="A490" s="2" t="s">
        <v>592</v>
      </c>
      <c r="B490" s="2" t="s">
        <v>183</v>
      </c>
      <c r="C490" s="2" t="s">
        <v>24</v>
      </c>
      <c r="D490" s="2" t="s">
        <v>72</v>
      </c>
      <c r="E490" s="2">
        <v>314.0</v>
      </c>
      <c r="F490" s="3">
        <v>45567.0</v>
      </c>
      <c r="G490" s="2">
        <v>4.22368609E8</v>
      </c>
      <c r="H490" s="2" t="s">
        <v>34</v>
      </c>
      <c r="I490" s="2" t="s">
        <v>73</v>
      </c>
      <c r="J490" s="2">
        <v>32.0</v>
      </c>
      <c r="K490" s="2">
        <v>1345123.0</v>
      </c>
      <c r="L490" s="6">
        <v>45566.0</v>
      </c>
      <c r="M490" s="2" t="b">
        <v>0</v>
      </c>
      <c r="Q490" s="6">
        <f>IFERROR(__xludf.DUMMYFUNCTION("IF(ISDATE(O490),O490,L490)"),45566.0)</f>
        <v>45566</v>
      </c>
      <c r="R490" s="2">
        <v>32.0</v>
      </c>
      <c r="T490" s="6">
        <v>45566.0</v>
      </c>
    </row>
    <row r="491">
      <c r="A491" s="2" t="s">
        <v>593</v>
      </c>
      <c r="B491" s="2" t="s">
        <v>349</v>
      </c>
      <c r="C491" s="2" t="s">
        <v>57</v>
      </c>
      <c r="D491" s="2" t="s">
        <v>29</v>
      </c>
      <c r="E491" s="2">
        <v>3332.0</v>
      </c>
      <c r="F491" s="3">
        <v>45608.0</v>
      </c>
      <c r="G491" s="3">
        <v>45649.0</v>
      </c>
      <c r="H491" s="2">
        <v>4.39851378E8</v>
      </c>
      <c r="I491" s="2">
        <v>4.17358894E8</v>
      </c>
      <c r="J491" s="2" t="s">
        <v>20</v>
      </c>
      <c r="K491" s="2" t="s">
        <v>73</v>
      </c>
      <c r="L491" s="2">
        <v>134.0</v>
      </c>
      <c r="M491" s="2">
        <v>41.0</v>
      </c>
      <c r="N491" s="2">
        <v>132008.0</v>
      </c>
      <c r="O491" s="6">
        <v>45597.0</v>
      </c>
      <c r="P491" s="2" t="b">
        <v>1</v>
      </c>
      <c r="Q491" s="6">
        <f>IFERROR(__xludf.DUMMYFUNCTION("IF(ISDATE(O491),O491,L491)"),45597.0)</f>
        <v>45597</v>
      </c>
      <c r="R491" s="2">
        <v>134.0</v>
      </c>
      <c r="T491" s="6">
        <v>45597.0</v>
      </c>
    </row>
    <row r="492">
      <c r="A492" s="2" t="s">
        <v>594</v>
      </c>
      <c r="B492" s="2" t="s">
        <v>208</v>
      </c>
      <c r="C492" s="2" t="s">
        <v>24</v>
      </c>
      <c r="D492" s="2" t="s">
        <v>102</v>
      </c>
      <c r="E492" s="2">
        <v>168.0</v>
      </c>
      <c r="F492" s="3">
        <v>45882.0</v>
      </c>
      <c r="G492" s="3">
        <v>45977.0</v>
      </c>
      <c r="H492" s="2">
        <v>1.46059441E8</v>
      </c>
      <c r="I492" s="2">
        <v>1.57670589E8</v>
      </c>
      <c r="J492" s="2" t="s">
        <v>20</v>
      </c>
      <c r="K492" s="2" t="s">
        <v>30</v>
      </c>
      <c r="L492" s="2">
        <v>110.0</v>
      </c>
      <c r="M492" s="2">
        <v>95.0</v>
      </c>
      <c r="N492" s="2">
        <v>869401.0</v>
      </c>
      <c r="O492" s="4">
        <v>45870.0</v>
      </c>
      <c r="P492" s="2" t="b">
        <v>1</v>
      </c>
      <c r="Q492" s="4">
        <f>IFERROR(__xludf.DUMMYFUNCTION("IF(ISDATE(O492),O492,L492)"),45870.0)</f>
        <v>45870</v>
      </c>
      <c r="R492" s="2">
        <v>110.0</v>
      </c>
      <c r="T492" s="4">
        <v>45870.0</v>
      </c>
    </row>
    <row r="493">
      <c r="A493" s="2" t="s">
        <v>595</v>
      </c>
      <c r="B493" s="2" t="s">
        <v>32</v>
      </c>
      <c r="C493" s="2" t="s">
        <v>57</v>
      </c>
      <c r="D493" s="2" t="s">
        <v>49</v>
      </c>
      <c r="E493" s="2">
        <v>261.0</v>
      </c>
      <c r="F493" s="3">
        <v>45173.0</v>
      </c>
      <c r="G493" s="3">
        <v>45242.0</v>
      </c>
      <c r="H493" s="2">
        <v>1.1693095E8</v>
      </c>
      <c r="I493" s="2">
        <v>1.17870863E8</v>
      </c>
      <c r="J493" s="2" t="s">
        <v>20</v>
      </c>
      <c r="K493" s="2" t="s">
        <v>30</v>
      </c>
      <c r="L493" s="2">
        <v>97.0</v>
      </c>
      <c r="M493" s="2">
        <v>69.0</v>
      </c>
      <c r="N493" s="2">
        <v>448011.0</v>
      </c>
      <c r="O493" s="4">
        <v>45170.0</v>
      </c>
      <c r="P493" s="2" t="b">
        <v>1</v>
      </c>
      <c r="Q493" s="4">
        <f>IFERROR(__xludf.DUMMYFUNCTION("IF(ISDATE(O493),O493,L493)"),45170.0)</f>
        <v>45170</v>
      </c>
      <c r="R493" s="2">
        <v>97.0</v>
      </c>
      <c r="T493" s="4">
        <v>45170.0</v>
      </c>
    </row>
    <row r="494">
      <c r="A494" s="2" t="s">
        <v>596</v>
      </c>
      <c r="B494" s="2" t="s">
        <v>78</v>
      </c>
      <c r="C494" s="2" t="s">
        <v>101</v>
      </c>
      <c r="D494" s="2" t="s">
        <v>81</v>
      </c>
      <c r="E494" s="2">
        <v>3652.0</v>
      </c>
      <c r="F494" s="3">
        <v>44962.0</v>
      </c>
      <c r="G494" s="2">
        <v>5.06738367E8</v>
      </c>
      <c r="H494" s="2" t="s">
        <v>34</v>
      </c>
      <c r="I494" s="2" t="s">
        <v>42</v>
      </c>
      <c r="J494" s="2">
        <v>82.0</v>
      </c>
      <c r="K494" s="2">
        <v>138756.0</v>
      </c>
      <c r="L494" s="4">
        <v>44958.0</v>
      </c>
      <c r="M494" s="2" t="b">
        <v>0</v>
      </c>
      <c r="Q494" s="4">
        <f>IFERROR(__xludf.DUMMYFUNCTION("IF(ISDATE(O494),O494,L494)"),44958.0)</f>
        <v>44958</v>
      </c>
      <c r="R494" s="2">
        <v>82.0</v>
      </c>
      <c r="T494" s="4">
        <v>44958.0</v>
      </c>
    </row>
    <row r="495">
      <c r="A495" s="2" t="s">
        <v>597</v>
      </c>
      <c r="B495" s="2" t="s">
        <v>54</v>
      </c>
      <c r="C495" s="2" t="s">
        <v>28</v>
      </c>
      <c r="D495" s="2" t="s">
        <v>72</v>
      </c>
      <c r="E495" s="2">
        <v>234.0</v>
      </c>
      <c r="F495" s="3">
        <v>45717.0</v>
      </c>
      <c r="G495" s="2">
        <v>4.22082302E8</v>
      </c>
      <c r="H495" s="2" t="s">
        <v>34</v>
      </c>
      <c r="I495" s="2" t="s">
        <v>25</v>
      </c>
      <c r="J495" s="2">
        <v>135.0</v>
      </c>
      <c r="K495" s="2">
        <v>1803771.0</v>
      </c>
      <c r="L495" s="4">
        <v>45717.0</v>
      </c>
      <c r="M495" s="2" t="b">
        <v>0</v>
      </c>
      <c r="Q495" s="4">
        <f>IFERROR(__xludf.DUMMYFUNCTION("IF(ISDATE(O495),O495,L495)"),45717.0)</f>
        <v>45717</v>
      </c>
      <c r="R495" s="2">
        <v>135.0</v>
      </c>
      <c r="T495" s="4">
        <v>45717.0</v>
      </c>
    </row>
    <row r="496">
      <c r="A496" s="2" t="s">
        <v>598</v>
      </c>
      <c r="B496" s="2" t="s">
        <v>211</v>
      </c>
      <c r="C496" s="2" t="s">
        <v>64</v>
      </c>
      <c r="D496" s="2" t="s">
        <v>29</v>
      </c>
      <c r="E496" s="2">
        <v>1667.0</v>
      </c>
      <c r="F496" s="3">
        <v>45398.0</v>
      </c>
      <c r="G496" s="3">
        <v>45448.0</v>
      </c>
      <c r="H496" s="2">
        <v>3.22712933E8</v>
      </c>
      <c r="I496" s="2">
        <v>3.42830875E8</v>
      </c>
      <c r="J496" s="2" t="s">
        <v>20</v>
      </c>
      <c r="K496" s="2" t="s">
        <v>42</v>
      </c>
      <c r="L496" s="2">
        <v>64.0</v>
      </c>
      <c r="M496" s="2">
        <v>50.0</v>
      </c>
      <c r="N496" s="2">
        <v>193589.0</v>
      </c>
      <c r="O496" s="4">
        <v>45383.0</v>
      </c>
      <c r="P496" s="2" t="b">
        <v>1</v>
      </c>
      <c r="Q496" s="4">
        <f>IFERROR(__xludf.DUMMYFUNCTION("IF(ISDATE(O496),O496,L496)"),45383.0)</f>
        <v>45383</v>
      </c>
      <c r="R496" s="2">
        <v>64.0</v>
      </c>
      <c r="T496" s="4">
        <v>45383.0</v>
      </c>
    </row>
    <row r="497">
      <c r="A497" s="2" t="s">
        <v>599</v>
      </c>
      <c r="B497" s="2" t="s">
        <v>208</v>
      </c>
      <c r="C497" s="2" t="s">
        <v>24</v>
      </c>
      <c r="D497" s="2" t="s">
        <v>37</v>
      </c>
      <c r="E497" s="2">
        <v>347.0</v>
      </c>
      <c r="F497" s="3">
        <v>45509.0</v>
      </c>
      <c r="G497" s="2">
        <v>4.37101775E8</v>
      </c>
      <c r="H497" s="2" t="s">
        <v>34</v>
      </c>
      <c r="I497" s="2" t="s">
        <v>30</v>
      </c>
      <c r="J497" s="2">
        <v>128.0</v>
      </c>
      <c r="K497" s="2">
        <v>1259659.0</v>
      </c>
      <c r="L497" s="4">
        <v>45505.0</v>
      </c>
      <c r="M497" s="2" t="b">
        <v>0</v>
      </c>
      <c r="Q497" s="4">
        <f>IFERROR(__xludf.DUMMYFUNCTION("IF(ISDATE(O497),O497,L497)"),45505.0)</f>
        <v>45505</v>
      </c>
      <c r="R497" s="2">
        <v>128.0</v>
      </c>
      <c r="T497" s="4">
        <v>45505.0</v>
      </c>
    </row>
    <row r="498">
      <c r="A498" s="2" t="s">
        <v>600</v>
      </c>
      <c r="B498" s="2" t="s">
        <v>137</v>
      </c>
      <c r="C498" s="2" t="s">
        <v>28</v>
      </c>
      <c r="D498" s="2" t="s">
        <v>29</v>
      </c>
      <c r="E498" s="2">
        <v>1181.0</v>
      </c>
      <c r="F498" s="3">
        <v>45234.0</v>
      </c>
      <c r="G498" s="3">
        <v>45396.0</v>
      </c>
      <c r="H498" s="2">
        <v>4.52915336E8</v>
      </c>
      <c r="I498" s="2">
        <v>4.73214777E8</v>
      </c>
      <c r="J498" s="2" t="s">
        <v>20</v>
      </c>
      <c r="K498" s="2" t="s">
        <v>30</v>
      </c>
      <c r="L498" s="2">
        <v>94.0</v>
      </c>
      <c r="M498" s="2">
        <v>162.0</v>
      </c>
      <c r="N498" s="2">
        <v>383502.0</v>
      </c>
      <c r="O498" s="6">
        <v>45231.0</v>
      </c>
      <c r="P498" s="2" t="b">
        <v>1</v>
      </c>
      <c r="Q498" s="6">
        <f>IFERROR(__xludf.DUMMYFUNCTION("IF(ISDATE(O498),O498,L498)"),45231.0)</f>
        <v>45231</v>
      </c>
      <c r="R498" s="2">
        <v>94.0</v>
      </c>
      <c r="T498" s="6">
        <v>45231.0</v>
      </c>
    </row>
    <row r="499">
      <c r="A499" s="2" t="s">
        <v>601</v>
      </c>
      <c r="B499" s="2" t="s">
        <v>227</v>
      </c>
      <c r="C499" s="2" t="s">
        <v>40</v>
      </c>
      <c r="D499" s="2" t="s">
        <v>49</v>
      </c>
      <c r="E499" s="2">
        <v>156.0</v>
      </c>
      <c r="F499" s="3">
        <v>45692.0</v>
      </c>
      <c r="G499" s="3">
        <v>45861.0</v>
      </c>
      <c r="H499" s="2">
        <v>6.6691785E7</v>
      </c>
      <c r="I499" s="2">
        <v>6.8120452E7</v>
      </c>
      <c r="J499" s="2" t="s">
        <v>20</v>
      </c>
      <c r="K499" s="2" t="s">
        <v>73</v>
      </c>
      <c r="L499" s="2">
        <v>18.0</v>
      </c>
      <c r="M499" s="2">
        <v>169.0</v>
      </c>
      <c r="N499" s="2">
        <v>427511.0</v>
      </c>
      <c r="O499" s="4">
        <v>45689.0</v>
      </c>
      <c r="P499" s="2" t="b">
        <v>1</v>
      </c>
      <c r="Q499" s="4">
        <f>IFERROR(__xludf.DUMMYFUNCTION("IF(ISDATE(O499),O499,L499)"),45689.0)</f>
        <v>45689</v>
      </c>
      <c r="R499" s="2">
        <v>18.0</v>
      </c>
      <c r="T499" s="4">
        <v>45689.0</v>
      </c>
    </row>
    <row r="500">
      <c r="A500" s="2" t="s">
        <v>602</v>
      </c>
      <c r="B500" s="2" t="s">
        <v>275</v>
      </c>
      <c r="C500" s="2" t="s">
        <v>24</v>
      </c>
      <c r="D500" s="2" t="s">
        <v>19</v>
      </c>
      <c r="E500" s="2">
        <v>50.0</v>
      </c>
      <c r="F500" s="3">
        <v>45080.0</v>
      </c>
      <c r="G500" s="3">
        <v>45273.0</v>
      </c>
      <c r="H500" s="2">
        <v>2.5921058E7</v>
      </c>
      <c r="I500" s="2">
        <v>2.4056897E7</v>
      </c>
      <c r="J500" s="2" t="s">
        <v>20</v>
      </c>
      <c r="K500" s="2" t="s">
        <v>73</v>
      </c>
      <c r="L500" s="2">
        <v>119.0</v>
      </c>
      <c r="M500" s="2">
        <v>193.0</v>
      </c>
      <c r="N500" s="2">
        <v>518421.0</v>
      </c>
      <c r="O500" s="4">
        <v>45078.0</v>
      </c>
      <c r="P500" s="2" t="b">
        <v>1</v>
      </c>
      <c r="Q500" s="4">
        <f>IFERROR(__xludf.DUMMYFUNCTION("IF(ISDATE(O500),O500,L500)"),45078.0)</f>
        <v>45078</v>
      </c>
      <c r="R500" s="2">
        <v>119.0</v>
      </c>
      <c r="T500" s="4">
        <v>45078.0</v>
      </c>
    </row>
    <row r="501">
      <c r="A501" s="2" t="s">
        <v>603</v>
      </c>
      <c r="B501" s="2" t="s">
        <v>227</v>
      </c>
      <c r="C501" s="2" t="s">
        <v>57</v>
      </c>
      <c r="D501" s="2" t="s">
        <v>29</v>
      </c>
      <c r="E501" s="2">
        <v>4534.0</v>
      </c>
      <c r="F501" s="3">
        <v>45369.0</v>
      </c>
      <c r="G501" s="3">
        <v>45484.0</v>
      </c>
      <c r="H501" s="2">
        <v>5.93616281E8</v>
      </c>
      <c r="I501" s="2">
        <v>5.78055763E8</v>
      </c>
      <c r="J501" s="2" t="s">
        <v>20</v>
      </c>
      <c r="K501" s="2" t="s">
        <v>73</v>
      </c>
      <c r="L501" s="2">
        <v>151.0</v>
      </c>
      <c r="M501" s="2">
        <v>115.0</v>
      </c>
      <c r="N501" s="2">
        <v>130926.0</v>
      </c>
      <c r="O501" s="4">
        <v>45352.0</v>
      </c>
      <c r="P501" s="2" t="b">
        <v>1</v>
      </c>
      <c r="Q501" s="4">
        <f>IFERROR(__xludf.DUMMYFUNCTION("IF(ISDATE(O501),O501,L501)"),45352.0)</f>
        <v>45352</v>
      </c>
      <c r="R501" s="2">
        <v>151.0</v>
      </c>
      <c r="T501" s="4">
        <v>45352.0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7.38"/>
    <col customWidth="1" min="4" max="4" width="17.25"/>
    <col customWidth="1" min="7" max="7" width="10.25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9" t="s">
        <v>604</v>
      </c>
      <c r="I1" s="9" t="s">
        <v>8</v>
      </c>
      <c r="J1" s="9" t="s">
        <v>9</v>
      </c>
      <c r="K1" s="9" t="s">
        <v>10</v>
      </c>
      <c r="L1" s="9" t="s">
        <v>11</v>
      </c>
      <c r="M1" s="1" t="s">
        <v>12</v>
      </c>
      <c r="N1" s="9" t="s">
        <v>13</v>
      </c>
      <c r="O1" s="9" t="s">
        <v>605</v>
      </c>
      <c r="P1" s="9" t="s">
        <v>606</v>
      </c>
      <c r="Q1" s="1"/>
      <c r="R1" s="1"/>
      <c r="S1" s="1"/>
      <c r="T1" s="1"/>
      <c r="U1" s="1"/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89.0</v>
      </c>
      <c r="F2" s="3">
        <v>45155.0</v>
      </c>
      <c r="G2" s="10">
        <v>45196.0</v>
      </c>
      <c r="H2" s="11">
        <v>1.6803472E7</v>
      </c>
      <c r="I2" s="2">
        <v>1.7857868E7</v>
      </c>
      <c r="J2" s="2" t="s">
        <v>20</v>
      </c>
      <c r="K2" s="2" t="s">
        <v>21</v>
      </c>
      <c r="L2" s="7">
        <v>156.0</v>
      </c>
      <c r="M2" s="2">
        <v>41.0</v>
      </c>
      <c r="N2" s="11">
        <v>266722.0</v>
      </c>
      <c r="O2" s="4">
        <v>45139.0</v>
      </c>
      <c r="P2" s="2" t="b">
        <v>1</v>
      </c>
    </row>
    <row r="3">
      <c r="A3" s="2" t="s">
        <v>22</v>
      </c>
      <c r="B3" s="2" t="s">
        <v>23</v>
      </c>
      <c r="C3" s="2" t="s">
        <v>24</v>
      </c>
      <c r="D3" s="2" t="s">
        <v>19</v>
      </c>
      <c r="E3" s="2">
        <v>628.0</v>
      </c>
      <c r="F3" s="3">
        <v>45444.0</v>
      </c>
      <c r="G3" s="3">
        <v>45602.0</v>
      </c>
      <c r="H3" s="11">
        <v>2.1569861E7</v>
      </c>
      <c r="I3" s="2">
        <v>2.2087138E7</v>
      </c>
      <c r="J3" s="2" t="s">
        <v>20</v>
      </c>
      <c r="K3" s="2" t="s">
        <v>25</v>
      </c>
      <c r="L3" s="2">
        <v>112.0</v>
      </c>
      <c r="M3" s="2">
        <v>158.0</v>
      </c>
      <c r="N3" s="11">
        <v>513568.0</v>
      </c>
      <c r="O3" s="4">
        <v>45444.0</v>
      </c>
      <c r="P3" s="2" t="b">
        <v>1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>
        <v>283.0</v>
      </c>
      <c r="F4" s="3">
        <v>45641.0</v>
      </c>
      <c r="G4" s="3">
        <v>45727.0</v>
      </c>
      <c r="H4" s="11">
        <v>9.34389987E8</v>
      </c>
      <c r="I4" s="2">
        <v>1.002744437E9</v>
      </c>
      <c r="J4" s="2" t="s">
        <v>20</v>
      </c>
      <c r="K4" s="2" t="s">
        <v>30</v>
      </c>
      <c r="L4" s="2">
        <v>31.0</v>
      </c>
      <c r="M4" s="2">
        <v>86.0</v>
      </c>
      <c r="N4" s="11">
        <v>348913.0</v>
      </c>
      <c r="O4" s="6">
        <v>45627.0</v>
      </c>
      <c r="P4" s="2" t="b">
        <v>1</v>
      </c>
    </row>
    <row r="5">
      <c r="A5" s="2" t="s">
        <v>31</v>
      </c>
      <c r="B5" s="2" t="s">
        <v>32</v>
      </c>
      <c r="C5" s="2" t="s">
        <v>28</v>
      </c>
      <c r="D5" s="2" t="s">
        <v>33</v>
      </c>
      <c r="E5" s="2">
        <v>294.0</v>
      </c>
      <c r="F5" s="3">
        <v>45197.0</v>
      </c>
      <c r="H5" s="2">
        <v>7.6447287E7</v>
      </c>
      <c r="J5" s="2" t="s">
        <v>34</v>
      </c>
      <c r="K5" s="2" t="s">
        <v>21</v>
      </c>
      <c r="L5" s="2">
        <v>101.0</v>
      </c>
      <c r="M5" s="7">
        <v>100.0</v>
      </c>
      <c r="N5" s="11">
        <v>878704.0</v>
      </c>
      <c r="O5" s="4">
        <v>45170.0</v>
      </c>
      <c r="P5" s="2" t="b">
        <v>0</v>
      </c>
    </row>
    <row r="6">
      <c r="A6" s="2" t="s">
        <v>35</v>
      </c>
      <c r="B6" s="2" t="s">
        <v>36</v>
      </c>
      <c r="C6" s="2" t="s">
        <v>28</v>
      </c>
      <c r="D6" s="2" t="s">
        <v>37</v>
      </c>
      <c r="E6" s="2">
        <v>1045.0</v>
      </c>
      <c r="F6" s="3">
        <v>45518.0</v>
      </c>
      <c r="G6" s="3">
        <v>45550.0</v>
      </c>
      <c r="H6" s="11">
        <v>1.008365292E9</v>
      </c>
      <c r="I6" s="2">
        <v>9.64464822E8</v>
      </c>
      <c r="J6" s="2" t="s">
        <v>20</v>
      </c>
      <c r="K6" s="2" t="s">
        <v>30</v>
      </c>
      <c r="L6" s="2">
        <v>25.0</v>
      </c>
      <c r="M6" s="2">
        <v>32.0</v>
      </c>
      <c r="N6" s="11">
        <v>1623777.0</v>
      </c>
      <c r="O6" s="4">
        <v>45505.0</v>
      </c>
      <c r="P6" s="2" t="b">
        <v>1</v>
      </c>
    </row>
    <row r="7">
      <c r="A7" s="2" t="s">
        <v>38</v>
      </c>
      <c r="B7" s="2" t="s">
        <v>39</v>
      </c>
      <c r="C7" s="2" t="s">
        <v>40</v>
      </c>
      <c r="D7" s="2" t="s">
        <v>33</v>
      </c>
      <c r="E7" s="2">
        <v>92.0</v>
      </c>
      <c r="F7" s="3">
        <v>45577.0</v>
      </c>
      <c r="H7" s="2">
        <v>2.220711E7</v>
      </c>
      <c r="J7" s="2" t="s">
        <v>41</v>
      </c>
      <c r="K7" s="2" t="s">
        <v>42</v>
      </c>
      <c r="M7" s="2">
        <v>176.0</v>
      </c>
      <c r="N7" s="11">
        <v>249518.0</v>
      </c>
      <c r="O7" s="6">
        <v>45566.0</v>
      </c>
      <c r="P7" s="2" t="b">
        <v>0</v>
      </c>
    </row>
    <row r="8">
      <c r="A8" s="2" t="s">
        <v>43</v>
      </c>
      <c r="B8" s="2" t="s">
        <v>44</v>
      </c>
      <c r="C8" s="2" t="s">
        <v>24</v>
      </c>
      <c r="D8" s="2" t="s">
        <v>33</v>
      </c>
      <c r="E8" s="2">
        <v>39.0</v>
      </c>
      <c r="F8" s="3">
        <v>45673.0</v>
      </c>
      <c r="G8" s="3">
        <v>45806.0</v>
      </c>
      <c r="H8" s="11">
        <v>6.7069316E7</v>
      </c>
      <c r="I8" s="2">
        <v>7.2322435E7</v>
      </c>
      <c r="J8" s="2" t="s">
        <v>20</v>
      </c>
      <c r="K8" s="2" t="s">
        <v>25</v>
      </c>
      <c r="L8" s="2">
        <v>61.0</v>
      </c>
      <c r="M8" s="2">
        <v>133.0</v>
      </c>
      <c r="N8" s="11">
        <v>651158.0</v>
      </c>
      <c r="O8" s="4">
        <v>45658.0</v>
      </c>
      <c r="P8" s="2" t="b">
        <v>1</v>
      </c>
    </row>
    <row r="9">
      <c r="A9" s="2" t="s">
        <v>45</v>
      </c>
      <c r="B9" s="2" t="s">
        <v>46</v>
      </c>
      <c r="C9" s="2" t="s">
        <v>18</v>
      </c>
      <c r="D9" s="2" t="s">
        <v>19</v>
      </c>
      <c r="E9" s="2">
        <v>110.0</v>
      </c>
      <c r="F9" s="3">
        <v>45337.0</v>
      </c>
      <c r="G9" s="3">
        <v>45406.0</v>
      </c>
      <c r="H9" s="11">
        <v>1.3593836E7</v>
      </c>
      <c r="I9" s="2">
        <v>1.3739953E7</v>
      </c>
      <c r="J9" s="2" t="s">
        <v>20</v>
      </c>
      <c r="K9" s="2" t="s">
        <v>30</v>
      </c>
      <c r="L9" s="2">
        <v>59.0</v>
      </c>
      <c r="M9" s="2">
        <v>69.0</v>
      </c>
      <c r="N9" s="11">
        <v>289231.0</v>
      </c>
      <c r="O9" s="4">
        <v>45323.0</v>
      </c>
      <c r="P9" s="2" t="b">
        <v>1</v>
      </c>
    </row>
    <row r="10">
      <c r="A10" s="2" t="s">
        <v>47</v>
      </c>
      <c r="B10" s="2" t="s">
        <v>48</v>
      </c>
      <c r="C10" s="2" t="s">
        <v>18</v>
      </c>
      <c r="D10" s="2" t="s">
        <v>49</v>
      </c>
      <c r="E10" s="2">
        <v>404.0</v>
      </c>
      <c r="F10" s="3">
        <v>45198.0</v>
      </c>
      <c r="G10" s="3">
        <v>45403.0</v>
      </c>
      <c r="H10" s="11">
        <v>1.16257416E8</v>
      </c>
      <c r="I10" s="2">
        <v>1.11844128E8</v>
      </c>
      <c r="J10" s="2" t="s">
        <v>20</v>
      </c>
      <c r="K10" s="2" t="s">
        <v>25</v>
      </c>
      <c r="L10" s="2">
        <v>114.0</v>
      </c>
      <c r="M10" s="2">
        <v>205.0</v>
      </c>
      <c r="N10" s="11">
        <v>421223.0</v>
      </c>
      <c r="O10" s="4">
        <v>45170.0</v>
      </c>
      <c r="P10" s="2" t="b">
        <v>1</v>
      </c>
    </row>
    <row r="11">
      <c r="A11" s="2" t="s">
        <v>50</v>
      </c>
      <c r="B11" s="2" t="s">
        <v>23</v>
      </c>
      <c r="C11" s="2" t="s">
        <v>40</v>
      </c>
      <c r="D11" s="2" t="s">
        <v>49</v>
      </c>
      <c r="E11" s="2">
        <v>1219.0</v>
      </c>
      <c r="F11" s="3">
        <v>45448.0</v>
      </c>
      <c r="G11" s="3">
        <v>45656.0</v>
      </c>
      <c r="H11" s="11">
        <v>4.3181673E7</v>
      </c>
      <c r="I11" s="2">
        <v>4.0484712E7</v>
      </c>
      <c r="J11" s="2" t="s">
        <v>20</v>
      </c>
      <c r="K11" s="2" t="s">
        <v>42</v>
      </c>
      <c r="L11" s="2">
        <v>179.0</v>
      </c>
      <c r="M11" s="2">
        <v>208.0</v>
      </c>
      <c r="N11" s="11">
        <v>304096.0</v>
      </c>
      <c r="O11" s="4">
        <v>45444.0</v>
      </c>
      <c r="P11" s="2" t="b">
        <v>1</v>
      </c>
    </row>
    <row r="12">
      <c r="A12" s="2" t="s">
        <v>51</v>
      </c>
      <c r="B12" s="2" t="s">
        <v>52</v>
      </c>
      <c r="C12" s="2" t="s">
        <v>24</v>
      </c>
      <c r="D12" s="2" t="s">
        <v>33</v>
      </c>
      <c r="E12" s="2">
        <v>89.0</v>
      </c>
      <c r="F12" s="3">
        <v>45406.0</v>
      </c>
      <c r="G12" s="3">
        <v>45562.0</v>
      </c>
      <c r="H12" s="11">
        <v>6.9090942E7</v>
      </c>
      <c r="I12" s="2">
        <v>6.3690584E7</v>
      </c>
      <c r="J12" s="2" t="s">
        <v>20</v>
      </c>
      <c r="K12" s="2" t="s">
        <v>21</v>
      </c>
      <c r="L12" s="2">
        <v>179.0</v>
      </c>
      <c r="M12" s="2">
        <v>156.0</v>
      </c>
      <c r="N12" s="11">
        <v>776303.0</v>
      </c>
      <c r="O12" s="4">
        <v>45383.0</v>
      </c>
      <c r="P12" s="2" t="b">
        <v>1</v>
      </c>
    </row>
    <row r="13">
      <c r="A13" s="2" t="s">
        <v>53</v>
      </c>
      <c r="B13" s="2" t="s">
        <v>54</v>
      </c>
      <c r="C13" s="2" t="s">
        <v>40</v>
      </c>
      <c r="D13" s="2" t="s">
        <v>37</v>
      </c>
      <c r="E13" s="2">
        <v>628.0</v>
      </c>
      <c r="F13" s="3">
        <v>45227.0</v>
      </c>
      <c r="G13" s="3">
        <v>45358.0</v>
      </c>
      <c r="H13" s="11">
        <v>2.94038372E8</v>
      </c>
      <c r="I13" s="2">
        <v>3.04486946E8</v>
      </c>
      <c r="J13" s="2" t="s">
        <v>20</v>
      </c>
      <c r="K13" s="2" t="s">
        <v>30</v>
      </c>
      <c r="L13" s="2">
        <v>133.0</v>
      </c>
      <c r="M13" s="2">
        <v>131.0</v>
      </c>
      <c r="N13" s="11">
        <v>468214.0</v>
      </c>
      <c r="O13" s="6">
        <v>45200.0</v>
      </c>
      <c r="P13" s="2" t="b">
        <v>1</v>
      </c>
    </row>
    <row r="14">
      <c r="A14" s="2" t="s">
        <v>55</v>
      </c>
      <c r="B14" s="2" t="s">
        <v>56</v>
      </c>
      <c r="C14" s="2" t="s">
        <v>57</v>
      </c>
      <c r="D14" s="2" t="s">
        <v>58</v>
      </c>
      <c r="E14" s="2">
        <v>283.0</v>
      </c>
      <c r="F14" s="3">
        <v>45232.0</v>
      </c>
      <c r="H14" s="2">
        <v>1.0893887E8</v>
      </c>
      <c r="J14" s="2" t="s">
        <v>34</v>
      </c>
      <c r="K14" s="2" t="s">
        <v>42</v>
      </c>
      <c r="M14" s="2">
        <v>100.0</v>
      </c>
      <c r="N14" s="11">
        <v>384943.0</v>
      </c>
      <c r="O14" s="6">
        <v>45231.0</v>
      </c>
      <c r="P14" s="2" t="b">
        <v>0</v>
      </c>
    </row>
    <row r="15">
      <c r="A15" s="2" t="s">
        <v>59</v>
      </c>
      <c r="B15" s="2" t="s">
        <v>60</v>
      </c>
      <c r="C15" s="2" t="s">
        <v>57</v>
      </c>
      <c r="D15" s="2" t="s">
        <v>58</v>
      </c>
      <c r="E15" s="2">
        <v>294.0</v>
      </c>
      <c r="F15" s="3">
        <v>45540.0</v>
      </c>
      <c r="G15" s="3">
        <v>45559.0</v>
      </c>
      <c r="H15" s="11">
        <v>9.2595586E7</v>
      </c>
      <c r="I15" s="2">
        <v>9.0565605E7</v>
      </c>
      <c r="J15" s="2" t="s">
        <v>20</v>
      </c>
      <c r="K15" s="2" t="s">
        <v>30</v>
      </c>
      <c r="L15" s="2">
        <v>66.0</v>
      </c>
      <c r="M15" s="2">
        <v>19.0</v>
      </c>
      <c r="N15" s="11">
        <v>314951.0</v>
      </c>
      <c r="O15" s="4">
        <v>45536.0</v>
      </c>
      <c r="P15" s="2" t="b">
        <v>1</v>
      </c>
    </row>
    <row r="16">
      <c r="A16" s="2" t="s">
        <v>61</v>
      </c>
      <c r="B16" s="2" t="s">
        <v>56</v>
      </c>
      <c r="C16" s="2" t="s">
        <v>28</v>
      </c>
      <c r="D16" s="2" t="s">
        <v>29</v>
      </c>
      <c r="E16" s="2">
        <v>1045.0</v>
      </c>
      <c r="F16" s="3">
        <v>45424.0</v>
      </c>
      <c r="H16" s="2">
        <v>4.62201062E8</v>
      </c>
      <c r="J16" s="2" t="s">
        <v>34</v>
      </c>
      <c r="K16" s="2" t="s">
        <v>42</v>
      </c>
      <c r="M16" s="2">
        <v>173.0</v>
      </c>
      <c r="N16" s="11">
        <v>442298.0</v>
      </c>
      <c r="O16" s="4">
        <v>45413.0</v>
      </c>
      <c r="P16" s="2" t="b">
        <v>0</v>
      </c>
    </row>
    <row r="17">
      <c r="A17" s="2" t="s">
        <v>62</v>
      </c>
      <c r="B17" s="2" t="s">
        <v>63</v>
      </c>
      <c r="C17" s="2" t="s">
        <v>64</v>
      </c>
      <c r="D17" s="2" t="s">
        <v>58</v>
      </c>
      <c r="E17" s="2">
        <v>92.0</v>
      </c>
      <c r="F17" s="3">
        <v>45820.0</v>
      </c>
      <c r="G17" s="3">
        <v>45889.0</v>
      </c>
      <c r="H17" s="11">
        <v>5.5630088E7</v>
      </c>
      <c r="I17" s="2">
        <v>5.7902156E7</v>
      </c>
      <c r="J17" s="2" t="s">
        <v>20</v>
      </c>
      <c r="K17" s="2" t="s">
        <v>42</v>
      </c>
      <c r="L17" s="2">
        <v>84.0</v>
      </c>
      <c r="M17" s="2">
        <v>69.0</v>
      </c>
      <c r="N17" s="11">
        <v>604675.0</v>
      </c>
      <c r="O17" s="4">
        <v>45809.0</v>
      </c>
      <c r="P17" s="2" t="b">
        <v>1</v>
      </c>
    </row>
    <row r="18">
      <c r="A18" s="2" t="s">
        <v>65</v>
      </c>
      <c r="B18" s="2" t="s">
        <v>66</v>
      </c>
      <c r="C18" s="2" t="s">
        <v>24</v>
      </c>
      <c r="D18" s="2" t="s">
        <v>67</v>
      </c>
      <c r="E18" s="2">
        <v>39.0</v>
      </c>
      <c r="F18" s="3">
        <v>45050.0</v>
      </c>
      <c r="G18" s="3">
        <v>45081.0</v>
      </c>
      <c r="H18" s="11">
        <v>1.7482981E7</v>
      </c>
      <c r="I18" s="2">
        <v>1.7730004E7</v>
      </c>
      <c r="J18" s="2" t="s">
        <v>20</v>
      </c>
      <c r="K18" s="2" t="s">
        <v>42</v>
      </c>
      <c r="L18" s="2">
        <v>155.0</v>
      </c>
      <c r="M18" s="2">
        <v>31.0</v>
      </c>
      <c r="N18" s="11">
        <v>448282.0</v>
      </c>
      <c r="O18" s="4">
        <v>45047.0</v>
      </c>
      <c r="P18" s="2" t="b">
        <v>1</v>
      </c>
    </row>
    <row r="19">
      <c r="A19" s="2" t="s">
        <v>68</v>
      </c>
      <c r="B19" s="2" t="s">
        <v>27</v>
      </c>
      <c r="C19" s="2" t="s">
        <v>28</v>
      </c>
      <c r="D19" s="2" t="s">
        <v>33</v>
      </c>
      <c r="E19" s="2">
        <v>110.0</v>
      </c>
      <c r="F19" s="3">
        <v>44996.0</v>
      </c>
      <c r="H19" s="2">
        <v>8.2125064E7</v>
      </c>
      <c r="J19" s="2" t="s">
        <v>69</v>
      </c>
      <c r="K19" s="2" t="s">
        <v>42</v>
      </c>
      <c r="L19" s="2">
        <v>76.0</v>
      </c>
      <c r="N19" s="11">
        <v>746591.0</v>
      </c>
      <c r="O19" s="4">
        <v>44986.0</v>
      </c>
      <c r="P19" s="2" t="b">
        <v>0</v>
      </c>
    </row>
    <row r="20">
      <c r="A20" s="2" t="s">
        <v>70</v>
      </c>
      <c r="B20" s="2" t="s">
        <v>71</v>
      </c>
      <c r="C20" s="2" t="s">
        <v>18</v>
      </c>
      <c r="D20" s="2" t="s">
        <v>72</v>
      </c>
      <c r="E20" s="2">
        <v>318.0</v>
      </c>
      <c r="F20" s="3">
        <v>45884.0</v>
      </c>
      <c r="H20" s="2">
        <v>1.66533572E8</v>
      </c>
      <c r="J20" s="2" t="s">
        <v>34</v>
      </c>
      <c r="K20" s="2" t="s">
        <v>73</v>
      </c>
      <c r="L20" s="2">
        <v>109.0</v>
      </c>
      <c r="N20" s="11">
        <v>523690.0</v>
      </c>
      <c r="O20" s="4">
        <v>45870.0</v>
      </c>
      <c r="P20" s="2" t="b">
        <v>0</v>
      </c>
    </row>
    <row r="21">
      <c r="A21" s="2" t="s">
        <v>74</v>
      </c>
      <c r="B21" s="2" t="s">
        <v>75</v>
      </c>
      <c r="C21" s="2" t="s">
        <v>28</v>
      </c>
      <c r="D21" s="2" t="s">
        <v>33</v>
      </c>
      <c r="E21" s="2">
        <v>107.0</v>
      </c>
      <c r="F21" s="3">
        <v>45360.0</v>
      </c>
      <c r="G21" s="3">
        <v>45561.0</v>
      </c>
      <c r="H21" s="11">
        <v>7.9278247E7</v>
      </c>
      <c r="I21" s="2">
        <v>8.1224756E7</v>
      </c>
      <c r="J21" s="2" t="s">
        <v>20</v>
      </c>
      <c r="K21" s="2" t="s">
        <v>21</v>
      </c>
      <c r="L21" s="2">
        <v>20.0</v>
      </c>
      <c r="M21" s="2">
        <v>201.0</v>
      </c>
      <c r="N21" s="11">
        <v>740918.0</v>
      </c>
      <c r="O21" s="4">
        <v>45352.0</v>
      </c>
      <c r="P21" s="2" t="b">
        <v>1</v>
      </c>
    </row>
    <row r="22">
      <c r="A22" s="2" t="s">
        <v>76</v>
      </c>
      <c r="B22" s="2" t="s">
        <v>23</v>
      </c>
      <c r="C22" s="2" t="s">
        <v>24</v>
      </c>
      <c r="D22" s="2" t="s">
        <v>67</v>
      </c>
      <c r="E22" s="2">
        <v>28.0</v>
      </c>
      <c r="F22" s="3">
        <v>45121.0</v>
      </c>
      <c r="G22" s="3">
        <v>45171.0</v>
      </c>
      <c r="H22" s="11">
        <v>1.2978908E7</v>
      </c>
      <c r="I22" s="2">
        <v>1.2519029E7</v>
      </c>
      <c r="J22" s="2" t="s">
        <v>20</v>
      </c>
      <c r="K22" s="2" t="s">
        <v>42</v>
      </c>
      <c r="L22" s="2">
        <v>24.0</v>
      </c>
      <c r="M22" s="2">
        <v>50.0</v>
      </c>
      <c r="N22" s="11">
        <v>463532.0</v>
      </c>
      <c r="O22" s="4">
        <v>45108.0</v>
      </c>
      <c r="P22" s="2" t="b">
        <v>1</v>
      </c>
    </row>
    <row r="23">
      <c r="A23" s="2" t="s">
        <v>77</v>
      </c>
      <c r="B23" s="2" t="s">
        <v>78</v>
      </c>
      <c r="C23" s="2" t="s">
        <v>24</v>
      </c>
      <c r="D23" s="2" t="s">
        <v>58</v>
      </c>
      <c r="E23" s="2">
        <v>75.0</v>
      </c>
      <c r="F23" s="3">
        <v>45480.0</v>
      </c>
      <c r="H23" s="2">
        <v>6.5451821E7</v>
      </c>
      <c r="J23" s="2" t="s">
        <v>41</v>
      </c>
      <c r="K23" s="2" t="s">
        <v>42</v>
      </c>
      <c r="L23" s="2">
        <v>47.0</v>
      </c>
      <c r="M23" s="5"/>
      <c r="N23" s="12">
        <v>872691.0</v>
      </c>
      <c r="O23" s="4">
        <v>45474.0</v>
      </c>
      <c r="P23" s="2" t="b">
        <v>0</v>
      </c>
    </row>
    <row r="24">
      <c r="A24" s="2" t="s">
        <v>79</v>
      </c>
      <c r="B24" s="2" t="s">
        <v>80</v>
      </c>
      <c r="C24" s="2" t="s">
        <v>24</v>
      </c>
      <c r="D24" s="2" t="s">
        <v>81</v>
      </c>
      <c r="E24" s="2">
        <v>2151.0</v>
      </c>
      <c r="F24" s="3">
        <v>45095.0</v>
      </c>
      <c r="G24" s="3">
        <v>45209.0</v>
      </c>
      <c r="H24" s="11">
        <v>8.02046977E8</v>
      </c>
      <c r="I24" s="2">
        <v>8.38501051E8</v>
      </c>
      <c r="J24" s="2" t="s">
        <v>20</v>
      </c>
      <c r="K24" s="2" t="s">
        <v>73</v>
      </c>
      <c r="L24" s="2">
        <v>78.0</v>
      </c>
      <c r="M24" s="2">
        <v>114.0</v>
      </c>
      <c r="N24" s="11">
        <v>372872.0</v>
      </c>
      <c r="O24" s="4">
        <v>45078.0</v>
      </c>
      <c r="P24" s="2" t="b">
        <v>1</v>
      </c>
    </row>
    <row r="25">
      <c r="A25" s="2" t="s">
        <v>82</v>
      </c>
      <c r="B25" s="2" t="s">
        <v>48</v>
      </c>
      <c r="C25" s="2" t="s">
        <v>24</v>
      </c>
      <c r="D25" s="2" t="s">
        <v>58</v>
      </c>
      <c r="E25" s="2">
        <v>219.0</v>
      </c>
      <c r="F25" s="3">
        <v>45121.0</v>
      </c>
      <c r="G25" s="3">
        <v>45150.0</v>
      </c>
      <c r="H25" s="11">
        <v>1.69373628E8</v>
      </c>
      <c r="I25" s="2">
        <v>1.70517108E8</v>
      </c>
      <c r="J25" s="2" t="s">
        <v>20</v>
      </c>
      <c r="K25" s="2" t="s">
        <v>30</v>
      </c>
      <c r="L25" s="2">
        <v>19.0</v>
      </c>
      <c r="M25" s="2">
        <v>29.0</v>
      </c>
      <c r="N25" s="11">
        <v>773396.0</v>
      </c>
      <c r="O25" s="4">
        <v>45108.0</v>
      </c>
      <c r="P25" s="2" t="b">
        <v>1</v>
      </c>
    </row>
    <row r="26">
      <c r="A26" s="2" t="s">
        <v>83</v>
      </c>
      <c r="B26" s="2" t="s">
        <v>84</v>
      </c>
      <c r="C26" s="2" t="s">
        <v>28</v>
      </c>
      <c r="D26" s="2" t="s">
        <v>81</v>
      </c>
      <c r="E26" s="2">
        <v>4519.0</v>
      </c>
      <c r="F26" s="3">
        <v>44985.0</v>
      </c>
      <c r="H26" s="2">
        <v>2.74381876E9</v>
      </c>
      <c r="J26" s="2" t="s">
        <v>41</v>
      </c>
      <c r="K26" s="2" t="s">
        <v>21</v>
      </c>
      <c r="L26" s="2">
        <v>157.0</v>
      </c>
      <c r="N26" s="2">
        <v>607174.0</v>
      </c>
      <c r="O26" s="4">
        <v>44958.0</v>
      </c>
      <c r="P26" s="2" t="b">
        <v>0</v>
      </c>
    </row>
    <row r="27">
      <c r="A27" s="2" t="s">
        <v>85</v>
      </c>
      <c r="B27" s="2" t="s">
        <v>86</v>
      </c>
      <c r="C27" s="2" t="s">
        <v>28</v>
      </c>
      <c r="D27" s="2" t="s">
        <v>72</v>
      </c>
      <c r="E27" s="2">
        <v>283.0</v>
      </c>
      <c r="F27" s="3">
        <v>45179.0</v>
      </c>
      <c r="G27" s="3">
        <v>45204.0</v>
      </c>
      <c r="H27" s="11">
        <v>4.753159E8</v>
      </c>
      <c r="I27" s="2">
        <v>4.6917291E8</v>
      </c>
      <c r="J27" s="2" t="s">
        <v>20</v>
      </c>
      <c r="K27" s="2" t="s">
        <v>25</v>
      </c>
      <c r="L27" s="2">
        <v>149.0</v>
      </c>
      <c r="M27" s="2">
        <v>25.0</v>
      </c>
      <c r="N27" s="11">
        <v>1679561.0</v>
      </c>
      <c r="O27" s="4">
        <v>45170.0</v>
      </c>
      <c r="P27" s="2" t="b">
        <v>1</v>
      </c>
    </row>
    <row r="28">
      <c r="A28" s="2" t="s">
        <v>87</v>
      </c>
      <c r="B28" s="2" t="s">
        <v>88</v>
      </c>
      <c r="C28" s="2" t="s">
        <v>64</v>
      </c>
      <c r="D28" s="2" t="s">
        <v>37</v>
      </c>
      <c r="E28" s="2">
        <v>404.0</v>
      </c>
      <c r="F28" s="3">
        <v>45198.0</v>
      </c>
      <c r="G28" s="3">
        <v>45384.0</v>
      </c>
      <c r="H28" s="11">
        <v>4.43235798E8</v>
      </c>
      <c r="I28" s="2">
        <v>4.40202261E8</v>
      </c>
      <c r="J28" s="2" t="s">
        <v>20</v>
      </c>
      <c r="K28" s="2" t="s">
        <v>21</v>
      </c>
      <c r="L28" s="2">
        <v>7.0</v>
      </c>
      <c r="M28" s="2">
        <v>186.0</v>
      </c>
      <c r="N28" s="11">
        <v>1097118.0</v>
      </c>
      <c r="O28" s="4">
        <v>45170.0</v>
      </c>
      <c r="P28" s="2" t="b">
        <v>1</v>
      </c>
    </row>
    <row r="29">
      <c r="A29" s="2" t="s">
        <v>89</v>
      </c>
      <c r="B29" s="2" t="s">
        <v>86</v>
      </c>
      <c r="C29" s="2" t="s">
        <v>64</v>
      </c>
      <c r="D29" s="2" t="s">
        <v>29</v>
      </c>
      <c r="E29" s="2">
        <v>1219.0</v>
      </c>
      <c r="F29" s="3">
        <v>45145.0</v>
      </c>
      <c r="G29" s="3">
        <v>45193.0</v>
      </c>
      <c r="H29" s="11">
        <v>3.01969472E8</v>
      </c>
      <c r="I29" s="2">
        <v>3.20370968E8</v>
      </c>
      <c r="J29" s="2" t="s">
        <v>20</v>
      </c>
      <c r="K29" s="2" t="s">
        <v>42</v>
      </c>
      <c r="L29" s="2">
        <v>99.0</v>
      </c>
      <c r="M29" s="2">
        <v>48.0</v>
      </c>
      <c r="N29" s="11">
        <v>247719.0</v>
      </c>
      <c r="O29" s="4">
        <v>45139.0</v>
      </c>
      <c r="P29" s="2" t="b">
        <v>1</v>
      </c>
    </row>
    <row r="30">
      <c r="A30" s="2" t="s">
        <v>90</v>
      </c>
      <c r="B30" s="2" t="s">
        <v>63</v>
      </c>
      <c r="C30" s="2" t="s">
        <v>24</v>
      </c>
      <c r="D30" s="2" t="s">
        <v>81</v>
      </c>
      <c r="E30" s="2">
        <v>4850.0</v>
      </c>
      <c r="F30" s="3">
        <v>45934.0</v>
      </c>
      <c r="H30" s="2">
        <v>2.007971528E9</v>
      </c>
      <c r="J30" s="2" t="s">
        <v>34</v>
      </c>
      <c r="K30" s="2" t="s">
        <v>25</v>
      </c>
      <c r="L30" s="2">
        <v>81.0</v>
      </c>
      <c r="N30" s="2">
        <v>414015.0</v>
      </c>
      <c r="O30" s="6">
        <v>45931.0</v>
      </c>
      <c r="P30" s="2" t="b">
        <v>0</v>
      </c>
    </row>
    <row r="31">
      <c r="A31" s="2" t="s">
        <v>91</v>
      </c>
      <c r="B31" s="2" t="s">
        <v>92</v>
      </c>
      <c r="C31" s="2" t="s">
        <v>93</v>
      </c>
      <c r="D31" s="2" t="s">
        <v>33</v>
      </c>
      <c r="E31" s="2">
        <v>73.0</v>
      </c>
      <c r="F31" s="3">
        <v>45838.0</v>
      </c>
      <c r="G31" s="3">
        <v>45994.0</v>
      </c>
      <c r="H31" s="11">
        <v>1.9976723E7</v>
      </c>
      <c r="I31" s="2">
        <v>1.9279155E7</v>
      </c>
      <c r="J31" s="2" t="s">
        <v>20</v>
      </c>
      <c r="K31" s="2" t="s">
        <v>42</v>
      </c>
      <c r="L31" s="2">
        <v>92.0</v>
      </c>
      <c r="M31" s="2">
        <v>156.0</v>
      </c>
      <c r="N31" s="11">
        <v>273654.0</v>
      </c>
      <c r="O31" s="4">
        <v>45809.0</v>
      </c>
      <c r="P31" s="2" t="b">
        <v>1</v>
      </c>
    </row>
    <row r="32">
      <c r="A32" s="2" t="s">
        <v>94</v>
      </c>
      <c r="B32" s="2" t="s">
        <v>95</v>
      </c>
      <c r="C32" s="2" t="s">
        <v>28</v>
      </c>
      <c r="D32" s="2" t="s">
        <v>37</v>
      </c>
      <c r="E32" s="2">
        <v>558.0</v>
      </c>
      <c r="F32" s="3">
        <v>45854.0</v>
      </c>
      <c r="H32" s="2">
        <v>9.25464903E8</v>
      </c>
      <c r="J32" s="2" t="s">
        <v>41</v>
      </c>
      <c r="K32" s="2" t="s">
        <v>73</v>
      </c>
      <c r="L32" s="2">
        <v>75.0</v>
      </c>
      <c r="N32" s="2">
        <v>1658539.0</v>
      </c>
      <c r="O32" s="4">
        <v>45839.0</v>
      </c>
      <c r="P32" s="2" t="b">
        <v>0</v>
      </c>
    </row>
    <row r="33">
      <c r="A33" s="2" t="s">
        <v>96</v>
      </c>
      <c r="B33" s="2" t="s">
        <v>17</v>
      </c>
      <c r="C33" s="2" t="s">
        <v>28</v>
      </c>
      <c r="D33" s="2" t="s">
        <v>67</v>
      </c>
      <c r="E33" s="2">
        <v>29.0</v>
      </c>
      <c r="F33" s="3">
        <v>45686.0</v>
      </c>
      <c r="G33" s="3">
        <v>45881.0</v>
      </c>
      <c r="H33" s="11">
        <v>1.7618645E7</v>
      </c>
      <c r="I33" s="2">
        <v>1.6236412E7</v>
      </c>
      <c r="J33" s="2" t="s">
        <v>20</v>
      </c>
      <c r="K33" s="2" t="s">
        <v>21</v>
      </c>
      <c r="L33" s="2">
        <v>43.0</v>
      </c>
      <c r="M33" s="2">
        <v>195.0</v>
      </c>
      <c r="N33" s="11">
        <v>607539.0</v>
      </c>
      <c r="O33" s="4">
        <v>45658.0</v>
      </c>
      <c r="P33" s="2" t="b">
        <v>1</v>
      </c>
    </row>
    <row r="34">
      <c r="A34" s="2" t="s">
        <v>97</v>
      </c>
      <c r="B34" s="2" t="s">
        <v>84</v>
      </c>
      <c r="C34" s="2" t="s">
        <v>64</v>
      </c>
      <c r="D34" s="2" t="s">
        <v>67</v>
      </c>
      <c r="E34" s="2">
        <v>43.0</v>
      </c>
      <c r="F34" s="3">
        <v>45367.0</v>
      </c>
      <c r="G34" s="3">
        <v>45460.0</v>
      </c>
      <c r="H34" s="11">
        <v>1.3488931E7</v>
      </c>
      <c r="I34" s="2">
        <v>1.4423634E7</v>
      </c>
      <c r="J34" s="2" t="s">
        <v>20</v>
      </c>
      <c r="K34" s="2" t="s">
        <v>21</v>
      </c>
      <c r="L34" s="2">
        <v>96.0</v>
      </c>
      <c r="M34" s="2">
        <v>93.0</v>
      </c>
      <c r="N34" s="11">
        <v>313696.0</v>
      </c>
      <c r="O34" s="4">
        <v>45352.0</v>
      </c>
      <c r="P34" s="2" t="b">
        <v>1</v>
      </c>
    </row>
    <row r="35">
      <c r="A35" s="2" t="s">
        <v>98</v>
      </c>
      <c r="B35" s="2" t="s">
        <v>99</v>
      </c>
      <c r="C35" s="2" t="s">
        <v>28</v>
      </c>
      <c r="D35" s="2" t="s">
        <v>72</v>
      </c>
      <c r="E35" s="2">
        <v>350.0</v>
      </c>
      <c r="F35" s="3">
        <v>45725.0</v>
      </c>
      <c r="G35" s="3">
        <v>45844.0</v>
      </c>
      <c r="H35" s="11">
        <v>6.6377089E8</v>
      </c>
      <c r="I35" s="2">
        <v>6.90266246E8</v>
      </c>
      <c r="J35" s="2" t="s">
        <v>20</v>
      </c>
      <c r="K35" s="2" t="s">
        <v>42</v>
      </c>
      <c r="L35" s="2">
        <v>46.0</v>
      </c>
      <c r="M35" s="2">
        <v>119.0</v>
      </c>
      <c r="N35" s="11">
        <v>1896488.0</v>
      </c>
      <c r="O35" s="4">
        <v>45717.0</v>
      </c>
      <c r="P35" s="2" t="b">
        <v>1</v>
      </c>
    </row>
    <row r="36">
      <c r="A36" s="2" t="s">
        <v>100</v>
      </c>
      <c r="B36" s="2" t="s">
        <v>27</v>
      </c>
      <c r="C36" s="2" t="s">
        <v>101</v>
      </c>
      <c r="D36" s="2" t="s">
        <v>102</v>
      </c>
      <c r="E36" s="2">
        <v>152.0</v>
      </c>
      <c r="F36" s="3">
        <v>45681.0</v>
      </c>
      <c r="H36" s="2">
        <v>6.0066865E7</v>
      </c>
      <c r="J36" s="2" t="s">
        <v>69</v>
      </c>
      <c r="K36" s="2" t="s">
        <v>42</v>
      </c>
      <c r="L36" s="2">
        <v>73.0</v>
      </c>
      <c r="N36" s="2">
        <v>395177.0</v>
      </c>
      <c r="O36" s="4">
        <v>45658.0</v>
      </c>
      <c r="P36" s="2" t="b">
        <v>0</v>
      </c>
    </row>
    <row r="37">
      <c r="A37" s="2" t="s">
        <v>103</v>
      </c>
      <c r="B37" s="2" t="s">
        <v>104</v>
      </c>
      <c r="C37" s="2" t="s">
        <v>28</v>
      </c>
      <c r="D37" s="2" t="s">
        <v>33</v>
      </c>
      <c r="E37" s="2">
        <v>89.0</v>
      </c>
      <c r="F37" s="3">
        <v>45154.0</v>
      </c>
      <c r="G37" s="3">
        <v>45286.0</v>
      </c>
      <c r="H37" s="11">
        <v>7.4883163E7</v>
      </c>
      <c r="I37" s="2">
        <v>7.8723607E7</v>
      </c>
      <c r="J37" s="2" t="s">
        <v>20</v>
      </c>
      <c r="K37" s="2" t="s">
        <v>42</v>
      </c>
      <c r="L37" s="2">
        <v>62.0</v>
      </c>
      <c r="M37" s="2">
        <v>132.0</v>
      </c>
      <c r="N37" s="11">
        <v>841384.0</v>
      </c>
      <c r="O37" s="4">
        <v>45139.0</v>
      </c>
      <c r="P37" s="2" t="b">
        <v>1</v>
      </c>
    </row>
    <row r="38">
      <c r="A38" s="2" t="s">
        <v>105</v>
      </c>
      <c r="B38" s="2" t="s">
        <v>106</v>
      </c>
      <c r="C38" s="2" t="s">
        <v>28</v>
      </c>
      <c r="D38" s="2" t="s">
        <v>72</v>
      </c>
      <c r="E38" s="2">
        <v>282.0</v>
      </c>
      <c r="F38" s="3">
        <v>45812.0</v>
      </c>
      <c r="G38" s="3">
        <v>45898.0</v>
      </c>
      <c r="H38" s="11">
        <v>4.27343203E8</v>
      </c>
      <c r="I38" s="2">
        <v>4.27986315E8</v>
      </c>
      <c r="J38" s="2" t="s">
        <v>20</v>
      </c>
      <c r="K38" s="2" t="s">
        <v>25</v>
      </c>
      <c r="L38" s="2">
        <v>89.0</v>
      </c>
      <c r="M38" s="2">
        <v>86.0</v>
      </c>
      <c r="N38" s="11">
        <v>1515401.0</v>
      </c>
      <c r="O38" s="4">
        <v>45809.0</v>
      </c>
      <c r="P38" s="2" t="b">
        <v>1</v>
      </c>
    </row>
    <row r="39">
      <c r="A39" s="2" t="s">
        <v>107</v>
      </c>
      <c r="B39" s="2" t="s">
        <v>44</v>
      </c>
      <c r="C39" s="2" t="s">
        <v>93</v>
      </c>
      <c r="D39" s="2" t="s">
        <v>33</v>
      </c>
      <c r="E39" s="2">
        <v>81.0</v>
      </c>
      <c r="F39" s="3">
        <v>45912.0</v>
      </c>
      <c r="H39" s="2">
        <v>2.1708672E7</v>
      </c>
      <c r="J39" s="2" t="s">
        <v>41</v>
      </c>
      <c r="K39" s="2" t="s">
        <v>73</v>
      </c>
      <c r="L39" s="2">
        <v>93.0</v>
      </c>
      <c r="N39" s="2">
        <v>268008.0</v>
      </c>
      <c r="O39" s="4">
        <v>45901.0</v>
      </c>
      <c r="P39" s="2" t="b">
        <v>0</v>
      </c>
    </row>
    <row r="40">
      <c r="A40" s="2" t="s">
        <v>108</v>
      </c>
      <c r="B40" s="2" t="s">
        <v>109</v>
      </c>
      <c r="C40" s="2" t="s">
        <v>18</v>
      </c>
      <c r="D40" s="2" t="s">
        <v>67</v>
      </c>
      <c r="E40" s="2">
        <v>38.0</v>
      </c>
      <c r="F40" s="3">
        <v>45045.0</v>
      </c>
      <c r="G40" s="3">
        <v>45207.0</v>
      </c>
      <c r="H40" s="11">
        <v>6897082.0</v>
      </c>
      <c r="I40" s="2">
        <v>6394297.0</v>
      </c>
      <c r="J40" s="2" t="s">
        <v>20</v>
      </c>
      <c r="K40" s="2" t="s">
        <v>73</v>
      </c>
      <c r="L40" s="2">
        <v>5.0</v>
      </c>
      <c r="M40" s="2">
        <v>162.0</v>
      </c>
      <c r="N40" s="11">
        <v>181502.0</v>
      </c>
      <c r="O40" s="4">
        <v>45017.0</v>
      </c>
      <c r="P40" s="2" t="b">
        <v>1</v>
      </c>
    </row>
    <row r="41">
      <c r="A41" s="2" t="s">
        <v>110</v>
      </c>
      <c r="B41" s="2" t="s">
        <v>111</v>
      </c>
      <c r="C41" s="2" t="s">
        <v>64</v>
      </c>
      <c r="D41" s="2" t="s">
        <v>58</v>
      </c>
      <c r="E41" s="2">
        <v>225.0</v>
      </c>
      <c r="F41" s="3">
        <v>45368.0</v>
      </c>
      <c r="G41" s="3">
        <v>45553.0</v>
      </c>
      <c r="H41" s="11">
        <v>1.35689091E8</v>
      </c>
      <c r="I41" s="2">
        <v>1.38362826E8</v>
      </c>
      <c r="J41" s="2" t="s">
        <v>20</v>
      </c>
      <c r="K41" s="2" t="s">
        <v>21</v>
      </c>
      <c r="L41" s="2">
        <v>81.0</v>
      </c>
      <c r="M41" s="2">
        <v>185.0</v>
      </c>
      <c r="N41" s="11">
        <v>603063.0</v>
      </c>
      <c r="O41" s="4">
        <v>45352.0</v>
      </c>
      <c r="P41" s="2" t="b">
        <v>1</v>
      </c>
    </row>
    <row r="42">
      <c r="A42" s="2" t="s">
        <v>112</v>
      </c>
      <c r="B42" s="2" t="s">
        <v>113</v>
      </c>
      <c r="C42" s="2" t="s">
        <v>64</v>
      </c>
      <c r="D42" s="2" t="s">
        <v>49</v>
      </c>
      <c r="E42" s="2">
        <v>133.0</v>
      </c>
      <c r="F42" s="3">
        <v>45229.0</v>
      </c>
      <c r="G42" s="3">
        <v>45293.0</v>
      </c>
      <c r="H42" s="11">
        <v>8.5313179E7</v>
      </c>
      <c r="I42" s="2">
        <v>9.132419E7</v>
      </c>
      <c r="J42" s="2" t="s">
        <v>20</v>
      </c>
      <c r="K42" s="2" t="s">
        <v>42</v>
      </c>
      <c r="L42" s="2">
        <v>162.0</v>
      </c>
      <c r="M42" s="2">
        <v>64.0</v>
      </c>
      <c r="N42" s="11">
        <v>641452.0</v>
      </c>
      <c r="O42" s="6">
        <v>45200.0</v>
      </c>
      <c r="P42" s="2" t="b">
        <v>1</v>
      </c>
    </row>
    <row r="43">
      <c r="A43" s="2" t="s">
        <v>114</v>
      </c>
      <c r="B43" s="2" t="s">
        <v>46</v>
      </c>
      <c r="C43" s="2" t="s">
        <v>64</v>
      </c>
      <c r="D43" s="2" t="s">
        <v>49</v>
      </c>
      <c r="E43" s="2">
        <v>190.0</v>
      </c>
      <c r="F43" s="3">
        <v>45220.0</v>
      </c>
      <c r="G43" s="3">
        <v>45383.0</v>
      </c>
      <c r="H43" s="11">
        <v>1.30791955E8</v>
      </c>
      <c r="I43" s="2">
        <v>1.27072215E8</v>
      </c>
      <c r="J43" s="2" t="s">
        <v>20</v>
      </c>
      <c r="K43" s="2" t="s">
        <v>73</v>
      </c>
      <c r="L43" s="2">
        <v>118.0</v>
      </c>
      <c r="M43" s="2">
        <v>163.0</v>
      </c>
      <c r="N43" s="11">
        <v>688379.0</v>
      </c>
      <c r="O43" s="6">
        <v>45200.0</v>
      </c>
      <c r="P43" s="2" t="b">
        <v>1</v>
      </c>
    </row>
    <row r="44">
      <c r="A44" s="2" t="s">
        <v>115</v>
      </c>
      <c r="B44" s="2" t="s">
        <v>71</v>
      </c>
      <c r="C44" s="2" t="s">
        <v>18</v>
      </c>
      <c r="D44" s="2" t="s">
        <v>58</v>
      </c>
      <c r="E44" s="2">
        <v>171.0</v>
      </c>
      <c r="F44" s="3">
        <v>45013.0</v>
      </c>
      <c r="G44" s="3">
        <v>45197.0</v>
      </c>
      <c r="H44" s="11">
        <v>5.8102091E7</v>
      </c>
      <c r="I44" s="2">
        <v>5.6569945E7</v>
      </c>
      <c r="J44" s="2" t="s">
        <v>20</v>
      </c>
      <c r="K44" s="2" t="s">
        <v>42</v>
      </c>
      <c r="L44" s="2">
        <v>177.0</v>
      </c>
      <c r="M44" s="2">
        <v>184.0</v>
      </c>
      <c r="N44" s="11">
        <v>339778.0</v>
      </c>
      <c r="O44" s="4">
        <v>44986.0</v>
      </c>
      <c r="P44" s="2" t="b">
        <v>1</v>
      </c>
    </row>
    <row r="45">
      <c r="A45" s="2" t="s">
        <v>116</v>
      </c>
      <c r="B45" s="2" t="s">
        <v>117</v>
      </c>
      <c r="C45" s="2" t="s">
        <v>24</v>
      </c>
      <c r="D45" s="2" t="s">
        <v>72</v>
      </c>
      <c r="E45" s="2">
        <v>217.0</v>
      </c>
      <c r="F45" s="3">
        <v>45177.0</v>
      </c>
      <c r="H45" s="2">
        <v>3.02102461E8</v>
      </c>
      <c r="J45" s="2" t="s">
        <v>34</v>
      </c>
      <c r="K45" s="2" t="s">
        <v>21</v>
      </c>
      <c r="L45" s="2">
        <v>121.0</v>
      </c>
      <c r="N45" s="11">
        <v>1392177.0</v>
      </c>
      <c r="O45" s="4">
        <v>45170.0</v>
      </c>
      <c r="P45" s="2" t="b">
        <v>0</v>
      </c>
    </row>
    <row r="46">
      <c r="A46" s="2" t="s">
        <v>118</v>
      </c>
      <c r="B46" s="2" t="s">
        <v>119</v>
      </c>
      <c r="C46" s="2" t="s">
        <v>24</v>
      </c>
      <c r="D46" s="2" t="s">
        <v>29</v>
      </c>
      <c r="E46" s="2">
        <v>1992.0</v>
      </c>
      <c r="F46" s="3">
        <v>45336.0</v>
      </c>
      <c r="G46" s="3">
        <v>45518.0</v>
      </c>
      <c r="H46" s="11">
        <v>6.5552103E8</v>
      </c>
      <c r="I46" s="2">
        <v>6.96704513E8</v>
      </c>
      <c r="J46" s="2" t="s">
        <v>20</v>
      </c>
      <c r="K46" s="2" t="s">
        <v>21</v>
      </c>
      <c r="L46" s="2">
        <v>113.0</v>
      </c>
      <c r="M46" s="2">
        <v>182.0</v>
      </c>
      <c r="N46" s="11">
        <v>329077.0</v>
      </c>
      <c r="O46" s="4">
        <v>45323.0</v>
      </c>
      <c r="P46" s="2" t="b">
        <v>1</v>
      </c>
    </row>
    <row r="47">
      <c r="A47" s="2" t="s">
        <v>120</v>
      </c>
      <c r="B47" s="2" t="s">
        <v>121</v>
      </c>
      <c r="C47" s="2" t="s">
        <v>28</v>
      </c>
      <c r="D47" s="2" t="s">
        <v>58</v>
      </c>
      <c r="E47" s="2">
        <v>168.0</v>
      </c>
      <c r="F47" s="3">
        <v>45182.0</v>
      </c>
      <c r="H47" s="2">
        <v>1.62198409E8</v>
      </c>
      <c r="J47" s="2" t="s">
        <v>41</v>
      </c>
      <c r="K47" s="2" t="s">
        <v>73</v>
      </c>
      <c r="L47" s="2">
        <v>175.0</v>
      </c>
      <c r="N47" s="11">
        <v>965467.0</v>
      </c>
      <c r="O47" s="4">
        <v>45170.0</v>
      </c>
      <c r="P47" s="2" t="b">
        <v>0</v>
      </c>
    </row>
    <row r="48">
      <c r="A48" s="2" t="s">
        <v>122</v>
      </c>
      <c r="B48" s="2" t="s">
        <v>123</v>
      </c>
      <c r="C48" s="2" t="s">
        <v>64</v>
      </c>
      <c r="D48" s="2" t="s">
        <v>58</v>
      </c>
      <c r="E48" s="2">
        <v>202.0</v>
      </c>
      <c r="F48" s="3">
        <v>45554.0</v>
      </c>
      <c r="H48" s="2">
        <v>1.02059423E8</v>
      </c>
      <c r="J48" s="2" t="s">
        <v>34</v>
      </c>
      <c r="K48" s="2" t="s">
        <v>25</v>
      </c>
      <c r="L48" s="2">
        <v>119.0</v>
      </c>
      <c r="N48" s="11">
        <v>505245.0</v>
      </c>
      <c r="O48" s="4">
        <v>45536.0</v>
      </c>
      <c r="P48" s="2" t="b">
        <v>0</v>
      </c>
    </row>
    <row r="49">
      <c r="A49" s="2" t="s">
        <v>124</v>
      </c>
      <c r="B49" s="2" t="s">
        <v>17</v>
      </c>
      <c r="C49" s="2" t="s">
        <v>40</v>
      </c>
      <c r="D49" s="2" t="s">
        <v>81</v>
      </c>
      <c r="E49" s="2">
        <v>4086.0</v>
      </c>
      <c r="F49" s="3">
        <v>45787.0</v>
      </c>
      <c r="G49" s="3">
        <v>45935.0</v>
      </c>
      <c r="H49" s="11">
        <v>6.39768804E8</v>
      </c>
      <c r="I49" s="2">
        <v>6.13077226E8</v>
      </c>
      <c r="J49" s="2" t="s">
        <v>20</v>
      </c>
      <c r="K49" s="2" t="s">
        <v>73</v>
      </c>
      <c r="L49" s="2">
        <v>24.0</v>
      </c>
      <c r="M49" s="2">
        <v>148.0</v>
      </c>
      <c r="N49" s="11">
        <v>156576.0</v>
      </c>
      <c r="O49" s="4">
        <v>45778.0</v>
      </c>
      <c r="P49" s="2" t="b">
        <v>1</v>
      </c>
    </row>
    <row r="50">
      <c r="A50" s="2" t="s">
        <v>125</v>
      </c>
      <c r="B50" s="2" t="s">
        <v>106</v>
      </c>
      <c r="C50" s="2" t="s">
        <v>18</v>
      </c>
      <c r="D50" s="2" t="s">
        <v>72</v>
      </c>
      <c r="E50" s="2">
        <v>249.0</v>
      </c>
      <c r="F50" s="3">
        <v>45841.0</v>
      </c>
      <c r="G50" s="3">
        <v>45891.0</v>
      </c>
      <c r="H50" s="11">
        <v>1.14243057E8</v>
      </c>
      <c r="I50" s="2">
        <v>1.12105072E8</v>
      </c>
      <c r="J50" s="2" t="s">
        <v>20</v>
      </c>
      <c r="K50" s="2" t="s">
        <v>42</v>
      </c>
      <c r="L50" s="2">
        <v>59.0</v>
      </c>
      <c r="M50" s="2">
        <v>50.0</v>
      </c>
      <c r="N50" s="11">
        <v>458807.0</v>
      </c>
      <c r="O50" s="4">
        <v>45839.0</v>
      </c>
      <c r="P50" s="2" t="b">
        <v>1</v>
      </c>
    </row>
    <row r="51">
      <c r="A51" s="2" t="s">
        <v>126</v>
      </c>
      <c r="B51" s="2" t="s">
        <v>66</v>
      </c>
      <c r="C51" s="2" t="s">
        <v>28</v>
      </c>
      <c r="D51" s="2" t="s">
        <v>49</v>
      </c>
      <c r="E51" s="2">
        <v>134.0</v>
      </c>
      <c r="F51" s="3">
        <v>45352.0</v>
      </c>
      <c r="G51" s="3">
        <v>45474.0</v>
      </c>
      <c r="H51" s="11">
        <v>1.60383389E8</v>
      </c>
      <c r="I51" s="2">
        <v>1.6730671E8</v>
      </c>
      <c r="J51" s="2" t="s">
        <v>20</v>
      </c>
      <c r="K51" s="2" t="s">
        <v>21</v>
      </c>
      <c r="L51" s="2">
        <v>152.0</v>
      </c>
      <c r="M51" s="2">
        <v>122.0</v>
      </c>
      <c r="N51" s="11">
        <v>1196891.0</v>
      </c>
      <c r="O51" s="4">
        <v>45352.0</v>
      </c>
      <c r="P51" s="2" t="b">
        <v>1</v>
      </c>
    </row>
    <row r="52">
      <c r="A52" s="2" t="s">
        <v>127</v>
      </c>
      <c r="B52" s="2" t="s">
        <v>106</v>
      </c>
      <c r="C52" s="2" t="s">
        <v>24</v>
      </c>
      <c r="D52" s="2" t="s">
        <v>19</v>
      </c>
      <c r="E52" s="2">
        <v>70.0</v>
      </c>
      <c r="F52" s="3">
        <v>45698.0</v>
      </c>
      <c r="G52" s="3">
        <v>45820.0</v>
      </c>
      <c r="H52" s="11">
        <v>4.1200022E7</v>
      </c>
      <c r="I52" s="2">
        <v>4.274673E7</v>
      </c>
      <c r="J52" s="2" t="s">
        <v>20</v>
      </c>
      <c r="K52" s="2" t="s">
        <v>25</v>
      </c>
      <c r="L52" s="2">
        <v>61.0</v>
      </c>
      <c r="M52" s="2">
        <v>122.0</v>
      </c>
      <c r="N52" s="11">
        <v>588572.0</v>
      </c>
      <c r="O52" s="4">
        <v>45689.0</v>
      </c>
      <c r="P52" s="2" t="b">
        <v>1</v>
      </c>
    </row>
    <row r="53">
      <c r="A53" s="2" t="s">
        <v>128</v>
      </c>
      <c r="B53" s="2" t="s">
        <v>129</v>
      </c>
      <c r="C53" s="2" t="s">
        <v>64</v>
      </c>
      <c r="D53" s="2" t="s">
        <v>37</v>
      </c>
      <c r="E53" s="2">
        <v>523.0</v>
      </c>
      <c r="F53" s="3">
        <v>45325.0</v>
      </c>
      <c r="G53" s="3">
        <v>45513.0</v>
      </c>
      <c r="H53" s="11">
        <v>6.0540616E8</v>
      </c>
      <c r="I53" s="2">
        <v>6.27121485E8</v>
      </c>
      <c r="J53" s="2" t="s">
        <v>20</v>
      </c>
      <c r="K53" s="2" t="s">
        <v>73</v>
      </c>
      <c r="L53" s="2">
        <v>37.0</v>
      </c>
      <c r="M53" s="2">
        <v>188.0</v>
      </c>
      <c r="N53" s="11">
        <v>1157564.0</v>
      </c>
      <c r="O53" s="4">
        <v>45323.0</v>
      </c>
      <c r="P53" s="2" t="b">
        <v>1</v>
      </c>
    </row>
    <row r="54">
      <c r="A54" s="2" t="s">
        <v>130</v>
      </c>
      <c r="B54" s="2" t="s">
        <v>52</v>
      </c>
      <c r="C54" s="2" t="s">
        <v>101</v>
      </c>
      <c r="D54" s="2" t="s">
        <v>58</v>
      </c>
      <c r="E54" s="2">
        <v>56.0</v>
      </c>
      <c r="F54" s="3">
        <v>45504.0</v>
      </c>
      <c r="G54" s="3">
        <v>45540.0</v>
      </c>
      <c r="H54" s="11">
        <v>1.8413284E7</v>
      </c>
      <c r="I54" s="2">
        <v>1.7340008E7</v>
      </c>
      <c r="J54" s="2" t="s">
        <v>20</v>
      </c>
      <c r="K54" s="2" t="s">
        <v>73</v>
      </c>
      <c r="L54" s="2">
        <v>51.0</v>
      </c>
      <c r="M54" s="2">
        <v>36.0</v>
      </c>
      <c r="N54" s="11">
        <v>328809.0</v>
      </c>
      <c r="O54" s="4">
        <v>45474.0</v>
      </c>
      <c r="P54" s="2" t="b">
        <v>1</v>
      </c>
    </row>
    <row r="55">
      <c r="A55" s="2" t="s">
        <v>131</v>
      </c>
      <c r="B55" s="2" t="s">
        <v>132</v>
      </c>
      <c r="C55" s="2" t="s">
        <v>28</v>
      </c>
      <c r="D55" s="2" t="s">
        <v>49</v>
      </c>
      <c r="E55" s="2">
        <v>133.0</v>
      </c>
      <c r="F55" s="3">
        <v>45261.0</v>
      </c>
      <c r="G55" s="3">
        <v>45373.0</v>
      </c>
      <c r="H55" s="11">
        <v>1.52145369E8</v>
      </c>
      <c r="I55" s="2">
        <v>1.63129147E8</v>
      </c>
      <c r="J55" s="2" t="s">
        <v>20</v>
      </c>
      <c r="K55" s="2" t="s">
        <v>73</v>
      </c>
      <c r="L55" s="2">
        <v>69.0</v>
      </c>
      <c r="M55" s="2">
        <v>112.0</v>
      </c>
      <c r="N55" s="11">
        <v>1143950.0</v>
      </c>
      <c r="O55" s="6">
        <v>45261.0</v>
      </c>
      <c r="P55" s="2" t="b">
        <v>1</v>
      </c>
    </row>
    <row r="56">
      <c r="A56" s="2" t="s">
        <v>133</v>
      </c>
      <c r="B56" s="2" t="s">
        <v>60</v>
      </c>
      <c r="C56" s="2" t="s">
        <v>40</v>
      </c>
      <c r="D56" s="2" t="s">
        <v>81</v>
      </c>
      <c r="E56" s="2">
        <v>558.0</v>
      </c>
      <c r="F56" s="3">
        <v>45901.0</v>
      </c>
      <c r="G56" s="2" t="s">
        <v>414</v>
      </c>
      <c r="H56" s="11">
        <v>7.3442343E7</v>
      </c>
      <c r="I56" s="2">
        <v>7.8815803E7</v>
      </c>
      <c r="J56" s="2" t="s">
        <v>20</v>
      </c>
      <c r="K56" s="2" t="s">
        <v>21</v>
      </c>
      <c r="L56" s="2">
        <v>12.0</v>
      </c>
      <c r="M56" s="2">
        <v>181.0</v>
      </c>
      <c r="N56" s="11">
        <v>131617.0</v>
      </c>
      <c r="O56" s="4">
        <v>45901.0</v>
      </c>
      <c r="P56" s="2" t="b">
        <v>1</v>
      </c>
    </row>
    <row r="57">
      <c r="A57" s="2" t="s">
        <v>134</v>
      </c>
      <c r="B57" s="2" t="s">
        <v>135</v>
      </c>
      <c r="C57" s="2" t="s">
        <v>93</v>
      </c>
      <c r="D57" s="2" t="s">
        <v>72</v>
      </c>
      <c r="E57" s="2">
        <v>185.0</v>
      </c>
      <c r="F57" s="3">
        <v>45171.0</v>
      </c>
      <c r="G57" s="3">
        <v>45357.0</v>
      </c>
      <c r="H57" s="11">
        <v>8.9486002E7</v>
      </c>
      <c r="I57" s="2">
        <v>9.5896879E7</v>
      </c>
      <c r="J57" s="2" t="s">
        <v>20</v>
      </c>
      <c r="K57" s="2" t="s">
        <v>73</v>
      </c>
      <c r="L57" s="2">
        <v>70.0</v>
      </c>
      <c r="M57" s="2">
        <v>186.0</v>
      </c>
      <c r="N57" s="11">
        <v>483708.0</v>
      </c>
      <c r="O57" s="4">
        <v>45170.0</v>
      </c>
      <c r="P57" s="2" t="b">
        <v>1</v>
      </c>
    </row>
    <row r="58">
      <c r="A58" s="2" t="s">
        <v>136</v>
      </c>
      <c r="B58" s="2" t="s">
        <v>137</v>
      </c>
      <c r="C58" s="2" t="s">
        <v>57</v>
      </c>
      <c r="D58" s="2" t="s">
        <v>102</v>
      </c>
      <c r="E58" s="2">
        <v>177.0</v>
      </c>
      <c r="F58" s="3">
        <v>45662.0</v>
      </c>
      <c r="G58" s="3">
        <v>45718.0</v>
      </c>
      <c r="H58" s="11">
        <v>8.7500892E7</v>
      </c>
      <c r="I58" s="2">
        <v>8.2014218E7</v>
      </c>
      <c r="J58" s="2" t="s">
        <v>20</v>
      </c>
      <c r="K58" s="2" t="s">
        <v>21</v>
      </c>
      <c r="L58" s="2">
        <v>84.0</v>
      </c>
      <c r="M58" s="2">
        <v>56.0</v>
      </c>
      <c r="N58" s="11">
        <v>494355.0</v>
      </c>
      <c r="O58" s="4">
        <v>45658.0</v>
      </c>
      <c r="P58" s="2" t="b">
        <v>1</v>
      </c>
    </row>
    <row r="59">
      <c r="A59" s="2" t="s">
        <v>138</v>
      </c>
      <c r="B59" s="2" t="s">
        <v>139</v>
      </c>
      <c r="C59" s="2" t="s">
        <v>64</v>
      </c>
      <c r="D59" s="2" t="s">
        <v>49</v>
      </c>
      <c r="E59" s="2">
        <v>151.0</v>
      </c>
      <c r="F59" s="3">
        <v>45533.0</v>
      </c>
      <c r="H59" s="2">
        <v>9.0101404E7</v>
      </c>
      <c r="J59" s="2" t="s">
        <v>34</v>
      </c>
      <c r="K59" s="2" t="s">
        <v>30</v>
      </c>
      <c r="L59" s="2">
        <v>180.0</v>
      </c>
      <c r="N59" s="11">
        <v>596698.0</v>
      </c>
      <c r="O59" s="4">
        <v>45505.0</v>
      </c>
      <c r="P59" s="2" t="b">
        <v>0</v>
      </c>
    </row>
    <row r="60">
      <c r="A60" s="2" t="s">
        <v>140</v>
      </c>
      <c r="B60" s="2" t="s">
        <v>46</v>
      </c>
      <c r="C60" s="2" t="s">
        <v>64</v>
      </c>
      <c r="D60" s="2" t="s">
        <v>33</v>
      </c>
      <c r="E60" s="2">
        <v>101.0</v>
      </c>
      <c r="F60" s="3">
        <v>45472.0</v>
      </c>
      <c r="G60" s="3">
        <v>45581.0</v>
      </c>
      <c r="H60" s="11">
        <v>3.9886133E7</v>
      </c>
      <c r="I60" s="2">
        <v>4.0827721E7</v>
      </c>
      <c r="J60" s="2" t="s">
        <v>20</v>
      </c>
      <c r="K60" s="2" t="s">
        <v>21</v>
      </c>
      <c r="L60" s="2">
        <v>112.0</v>
      </c>
      <c r="M60" s="2">
        <v>109.0</v>
      </c>
      <c r="N60" s="11">
        <v>394912.0</v>
      </c>
      <c r="O60" s="4">
        <v>45444.0</v>
      </c>
      <c r="P60" s="2" t="b">
        <v>1</v>
      </c>
    </row>
    <row r="61">
      <c r="A61" s="2" t="s">
        <v>141</v>
      </c>
      <c r="B61" s="2" t="s">
        <v>142</v>
      </c>
      <c r="C61" s="2" t="s">
        <v>57</v>
      </c>
      <c r="D61" s="2" t="s">
        <v>33</v>
      </c>
      <c r="E61" s="2">
        <v>92.0</v>
      </c>
      <c r="F61" s="3">
        <v>45839.0</v>
      </c>
      <c r="H61" s="2">
        <v>2.6825623E7</v>
      </c>
      <c r="J61" s="2" t="s">
        <v>34</v>
      </c>
      <c r="K61" s="2" t="s">
        <v>42</v>
      </c>
      <c r="L61" s="2">
        <v>138.0</v>
      </c>
      <c r="N61" s="11">
        <v>291583.0</v>
      </c>
      <c r="O61" s="4">
        <v>45839.0</v>
      </c>
      <c r="P61" s="2" t="b">
        <v>0</v>
      </c>
    </row>
    <row r="62">
      <c r="A62" s="2" t="s">
        <v>143</v>
      </c>
      <c r="B62" s="2" t="s">
        <v>66</v>
      </c>
      <c r="C62" s="2" t="s">
        <v>101</v>
      </c>
      <c r="D62" s="2" t="s">
        <v>37</v>
      </c>
      <c r="E62" s="2">
        <v>615.0</v>
      </c>
      <c r="F62" s="3">
        <v>45403.0</v>
      </c>
      <c r="G62" s="3">
        <v>45605.0</v>
      </c>
      <c r="H62" s="11">
        <v>3.97088261E8</v>
      </c>
      <c r="I62" s="2">
        <v>3.85798538E8</v>
      </c>
      <c r="J62" s="2" t="s">
        <v>20</v>
      </c>
      <c r="K62" s="2" t="s">
        <v>42</v>
      </c>
      <c r="L62" s="2">
        <v>27.0</v>
      </c>
      <c r="M62" s="2">
        <v>202.0</v>
      </c>
      <c r="N62" s="11">
        <v>645672.0</v>
      </c>
      <c r="O62" s="4">
        <v>45383.0</v>
      </c>
      <c r="P62" s="2" t="b">
        <v>1</v>
      </c>
    </row>
    <row r="63">
      <c r="A63" s="2" t="s">
        <v>144</v>
      </c>
      <c r="B63" s="2" t="s">
        <v>145</v>
      </c>
      <c r="C63" s="2" t="s">
        <v>24</v>
      </c>
      <c r="D63" s="2" t="s">
        <v>81</v>
      </c>
      <c r="E63" s="2">
        <v>2397.0</v>
      </c>
      <c r="F63" s="3">
        <v>45551.0</v>
      </c>
      <c r="G63" s="3">
        <v>45652.0</v>
      </c>
      <c r="H63" s="11">
        <v>8.05337347E8</v>
      </c>
      <c r="I63" s="2">
        <v>8.50559015E8</v>
      </c>
      <c r="J63" s="2" t="s">
        <v>20</v>
      </c>
      <c r="K63" s="2" t="s">
        <v>42</v>
      </c>
      <c r="L63" s="2">
        <v>129.0</v>
      </c>
      <c r="M63" s="2">
        <v>101.0</v>
      </c>
      <c r="N63" s="11">
        <v>335977.0</v>
      </c>
      <c r="O63" s="4">
        <v>45536.0</v>
      </c>
      <c r="P63" s="2" t="b">
        <v>1</v>
      </c>
    </row>
    <row r="64">
      <c r="A64" s="2" t="s">
        <v>146</v>
      </c>
      <c r="B64" s="2" t="s">
        <v>63</v>
      </c>
      <c r="C64" s="2" t="s">
        <v>28</v>
      </c>
      <c r="D64" s="2" t="s">
        <v>37</v>
      </c>
      <c r="E64" s="2">
        <v>474.0</v>
      </c>
      <c r="F64" s="3">
        <v>45645.0</v>
      </c>
      <c r="H64" s="2">
        <v>7.57022097E8</v>
      </c>
      <c r="J64" s="2" t="s">
        <v>34</v>
      </c>
      <c r="K64" s="2" t="s">
        <v>42</v>
      </c>
      <c r="L64" s="2">
        <v>26.0</v>
      </c>
      <c r="N64" s="11">
        <v>1597093.0</v>
      </c>
      <c r="O64" s="6">
        <v>45627.0</v>
      </c>
      <c r="P64" s="2" t="b">
        <v>0</v>
      </c>
    </row>
    <row r="65">
      <c r="A65" s="2" t="s">
        <v>147</v>
      </c>
      <c r="B65" s="2" t="s">
        <v>84</v>
      </c>
      <c r="C65" s="2" t="s">
        <v>28</v>
      </c>
      <c r="D65" s="2" t="s">
        <v>49</v>
      </c>
      <c r="E65" s="2">
        <v>175.0</v>
      </c>
      <c r="F65" s="3">
        <v>45634.0</v>
      </c>
      <c r="G65" s="3">
        <v>45831.0</v>
      </c>
      <c r="H65" s="11">
        <v>2.17897917E8</v>
      </c>
      <c r="I65" s="2">
        <v>2.2811063E8</v>
      </c>
      <c r="J65" s="2" t="s">
        <v>20</v>
      </c>
      <c r="K65" s="2" t="s">
        <v>21</v>
      </c>
      <c r="L65" s="2">
        <v>80.0</v>
      </c>
      <c r="M65" s="2">
        <v>197.0</v>
      </c>
      <c r="N65" s="11">
        <v>1245131.0</v>
      </c>
      <c r="O65" s="6">
        <v>45627.0</v>
      </c>
      <c r="P65" s="2" t="b">
        <v>1</v>
      </c>
    </row>
    <row r="66">
      <c r="A66" s="2" t="s">
        <v>148</v>
      </c>
      <c r="B66" s="2" t="s">
        <v>36</v>
      </c>
      <c r="C66" s="2" t="s">
        <v>28</v>
      </c>
      <c r="D66" s="2" t="s">
        <v>72</v>
      </c>
      <c r="E66" s="2">
        <v>258.0</v>
      </c>
      <c r="F66" s="3">
        <v>45411.0</v>
      </c>
      <c r="G66" s="3">
        <v>45514.0</v>
      </c>
      <c r="H66" s="11">
        <v>4.0271435E8</v>
      </c>
      <c r="I66" s="2">
        <v>4.18561026E8</v>
      </c>
      <c r="J66" s="2" t="s">
        <v>20</v>
      </c>
      <c r="K66" s="2" t="s">
        <v>30</v>
      </c>
      <c r="L66" s="2">
        <v>95.0</v>
      </c>
      <c r="M66" s="2">
        <v>103.0</v>
      </c>
      <c r="N66" s="11">
        <v>1560908.0</v>
      </c>
      <c r="O66" s="4">
        <v>45383.0</v>
      </c>
      <c r="P66" s="2" t="b">
        <v>1</v>
      </c>
    </row>
    <row r="67">
      <c r="A67" s="2" t="s">
        <v>149</v>
      </c>
      <c r="B67" s="2" t="s">
        <v>17</v>
      </c>
      <c r="C67" s="2" t="s">
        <v>18</v>
      </c>
      <c r="D67" s="2" t="s">
        <v>37</v>
      </c>
      <c r="E67" s="2">
        <v>456.0</v>
      </c>
      <c r="F67" s="3">
        <v>45050.0</v>
      </c>
      <c r="H67" s="2">
        <v>2.52194579E8</v>
      </c>
      <c r="J67" s="2" t="s">
        <v>69</v>
      </c>
      <c r="K67" s="2" t="s">
        <v>25</v>
      </c>
      <c r="L67" s="2">
        <v>52.0</v>
      </c>
      <c r="N67" s="11">
        <v>553058.0</v>
      </c>
      <c r="O67" s="4">
        <v>45047.0</v>
      </c>
      <c r="P67" s="2" t="b">
        <v>0</v>
      </c>
    </row>
    <row r="68">
      <c r="A68" s="2" t="s">
        <v>150</v>
      </c>
      <c r="B68" s="2" t="s">
        <v>109</v>
      </c>
      <c r="C68" s="2" t="s">
        <v>28</v>
      </c>
      <c r="D68" s="2" t="s">
        <v>81</v>
      </c>
      <c r="E68" s="2">
        <v>2665.0</v>
      </c>
      <c r="F68" s="3">
        <v>45538.0</v>
      </c>
      <c r="G68" s="3">
        <v>45578.0</v>
      </c>
      <c r="H68" s="11">
        <v>1.607944236E9</v>
      </c>
      <c r="I68" s="2">
        <v>1.555524344E9</v>
      </c>
      <c r="J68" s="2" t="s">
        <v>20</v>
      </c>
      <c r="K68" s="2" t="s">
        <v>30</v>
      </c>
      <c r="L68" s="2">
        <v>50.0</v>
      </c>
      <c r="M68" s="2">
        <v>40.0</v>
      </c>
      <c r="N68" s="11">
        <v>603356.0</v>
      </c>
      <c r="O68" s="4">
        <v>45536.0</v>
      </c>
      <c r="P68" s="2" t="b">
        <v>1</v>
      </c>
    </row>
    <row r="69">
      <c r="A69" s="2" t="s">
        <v>151</v>
      </c>
      <c r="B69" s="2" t="s">
        <v>92</v>
      </c>
      <c r="C69" s="2" t="s">
        <v>24</v>
      </c>
      <c r="D69" s="2" t="s">
        <v>58</v>
      </c>
      <c r="E69" s="2">
        <v>82.0</v>
      </c>
      <c r="F69" s="3">
        <v>45924.0</v>
      </c>
      <c r="G69" s="2" t="s">
        <v>414</v>
      </c>
      <c r="H69" s="11">
        <v>6.6191332E7</v>
      </c>
      <c r="I69" s="2">
        <v>6.2233402E7</v>
      </c>
      <c r="J69" s="2" t="s">
        <v>20</v>
      </c>
      <c r="K69" s="2" t="s">
        <v>73</v>
      </c>
      <c r="L69" s="2">
        <v>31.0</v>
      </c>
      <c r="M69" s="2">
        <v>89.0</v>
      </c>
      <c r="N69" s="11">
        <v>807211.0</v>
      </c>
      <c r="O69" s="4">
        <v>45901.0</v>
      </c>
      <c r="P69" s="2" t="b">
        <v>1</v>
      </c>
    </row>
    <row r="70">
      <c r="A70" s="2" t="s">
        <v>152</v>
      </c>
      <c r="B70" s="2" t="s">
        <v>153</v>
      </c>
      <c r="C70" s="2" t="s">
        <v>40</v>
      </c>
      <c r="D70" s="2" t="s">
        <v>29</v>
      </c>
      <c r="E70" s="2">
        <v>2729.0</v>
      </c>
      <c r="F70" s="3">
        <v>45378.0</v>
      </c>
      <c r="G70" s="3">
        <v>45406.0</v>
      </c>
      <c r="H70" s="11">
        <v>2.91966233E8</v>
      </c>
      <c r="I70" s="2">
        <v>3.08863975E8</v>
      </c>
      <c r="J70" s="2" t="s">
        <v>20</v>
      </c>
      <c r="K70" s="2" t="s">
        <v>21</v>
      </c>
      <c r="L70" s="2">
        <v>21.0</v>
      </c>
      <c r="M70" s="2">
        <v>28.0</v>
      </c>
      <c r="N70" s="11">
        <v>106987.0</v>
      </c>
      <c r="O70" s="4">
        <v>45352.0</v>
      </c>
      <c r="P70" s="2" t="b">
        <v>1</v>
      </c>
    </row>
    <row r="71">
      <c r="A71" s="2" t="s">
        <v>154</v>
      </c>
      <c r="B71" s="2" t="s">
        <v>27</v>
      </c>
      <c r="C71" s="2" t="s">
        <v>24</v>
      </c>
      <c r="D71" s="2" t="s">
        <v>33</v>
      </c>
      <c r="E71" s="2">
        <v>101.0</v>
      </c>
      <c r="F71" s="3">
        <v>45079.0</v>
      </c>
      <c r="H71" s="2">
        <v>5.803935E7</v>
      </c>
      <c r="J71" s="2" t="s">
        <v>69</v>
      </c>
      <c r="K71" s="2" t="s">
        <v>42</v>
      </c>
      <c r="L71" s="2">
        <v>35.0</v>
      </c>
      <c r="N71" s="11">
        <v>574647.0</v>
      </c>
      <c r="O71" s="4">
        <v>45078.0</v>
      </c>
      <c r="P71" s="2" t="b">
        <v>0</v>
      </c>
    </row>
    <row r="72">
      <c r="A72" s="2" t="s">
        <v>155</v>
      </c>
      <c r="B72" s="2" t="s">
        <v>109</v>
      </c>
      <c r="C72" s="2" t="s">
        <v>64</v>
      </c>
      <c r="D72" s="2" t="s">
        <v>49</v>
      </c>
      <c r="E72" s="2">
        <v>205.0</v>
      </c>
      <c r="F72" s="3">
        <v>45158.0</v>
      </c>
      <c r="H72" s="2">
        <v>1.33051077E8</v>
      </c>
      <c r="J72" s="2" t="s">
        <v>69</v>
      </c>
      <c r="K72" s="2" t="s">
        <v>73</v>
      </c>
      <c r="L72" s="2">
        <v>81.0</v>
      </c>
      <c r="N72" s="11">
        <v>649030.0</v>
      </c>
      <c r="O72" s="4">
        <v>45139.0</v>
      </c>
      <c r="P72" s="2" t="b">
        <v>0</v>
      </c>
    </row>
    <row r="73">
      <c r="A73" s="2" t="s">
        <v>156</v>
      </c>
      <c r="B73" s="2" t="s">
        <v>109</v>
      </c>
      <c r="C73" s="2" t="s">
        <v>40</v>
      </c>
      <c r="D73" s="2" t="s">
        <v>49</v>
      </c>
      <c r="E73" s="2">
        <v>128.0</v>
      </c>
      <c r="F73" s="3">
        <v>44988.0</v>
      </c>
      <c r="G73" s="3">
        <v>45192.0</v>
      </c>
      <c r="H73" s="11">
        <v>3.9858265E7</v>
      </c>
      <c r="I73" s="2">
        <v>4.1533824E7</v>
      </c>
      <c r="J73" s="2" t="s">
        <v>20</v>
      </c>
      <c r="K73" s="2" t="s">
        <v>42</v>
      </c>
      <c r="L73" s="2">
        <v>72.0</v>
      </c>
      <c r="M73" s="2">
        <v>204.0</v>
      </c>
      <c r="N73" s="11">
        <v>311393.0</v>
      </c>
      <c r="O73" s="4">
        <v>44986.0</v>
      </c>
      <c r="P73" s="2" t="b">
        <v>1</v>
      </c>
    </row>
    <row r="74">
      <c r="A74" s="2" t="s">
        <v>157</v>
      </c>
      <c r="B74" s="2" t="s">
        <v>44</v>
      </c>
      <c r="C74" s="2" t="s">
        <v>18</v>
      </c>
      <c r="D74" s="2" t="s">
        <v>102</v>
      </c>
      <c r="E74" s="2">
        <v>130.0</v>
      </c>
      <c r="F74" s="3">
        <v>45003.0</v>
      </c>
      <c r="G74" s="3">
        <v>45122.0</v>
      </c>
      <c r="H74" s="11">
        <v>4.6874167E7</v>
      </c>
      <c r="I74" s="2">
        <v>4.7577738E7</v>
      </c>
      <c r="J74" s="2" t="s">
        <v>20</v>
      </c>
      <c r="K74" s="2" t="s">
        <v>30</v>
      </c>
      <c r="L74" s="2">
        <v>13.0</v>
      </c>
      <c r="M74" s="2">
        <v>119.0</v>
      </c>
      <c r="N74" s="11">
        <v>360571.0</v>
      </c>
      <c r="O74" s="4">
        <v>44986.0</v>
      </c>
      <c r="P74" s="2" t="b">
        <v>1</v>
      </c>
    </row>
    <row r="75">
      <c r="A75" s="2" t="s">
        <v>158</v>
      </c>
      <c r="B75" s="2" t="s">
        <v>56</v>
      </c>
      <c r="C75" s="2" t="s">
        <v>28</v>
      </c>
      <c r="D75" s="2" t="s">
        <v>37</v>
      </c>
      <c r="E75" s="2">
        <v>532.0</v>
      </c>
      <c r="F75" s="3">
        <v>45166.0</v>
      </c>
      <c r="H75" s="2">
        <v>1.080312509E9</v>
      </c>
      <c r="J75" s="2" t="s">
        <v>34</v>
      </c>
      <c r="K75" s="2" t="s">
        <v>42</v>
      </c>
      <c r="L75" s="2">
        <v>113.0</v>
      </c>
      <c r="N75" s="11">
        <v>2030663.0</v>
      </c>
      <c r="O75" s="4">
        <v>45139.0</v>
      </c>
      <c r="P75" s="2" t="b">
        <v>0</v>
      </c>
    </row>
    <row r="76">
      <c r="A76" s="2" t="s">
        <v>159</v>
      </c>
      <c r="B76" s="2" t="s">
        <v>160</v>
      </c>
      <c r="C76" s="2" t="s">
        <v>28</v>
      </c>
      <c r="D76" s="2" t="s">
        <v>72</v>
      </c>
      <c r="E76" s="2">
        <v>345.0</v>
      </c>
      <c r="F76" s="3">
        <v>45773.0</v>
      </c>
      <c r="G76" s="3">
        <v>45803.0</v>
      </c>
      <c r="H76" s="11">
        <v>4.83705437E8</v>
      </c>
      <c r="I76" s="2">
        <v>4.68815963E8</v>
      </c>
      <c r="J76" s="2" t="s">
        <v>20</v>
      </c>
      <c r="K76" s="2" t="s">
        <v>25</v>
      </c>
      <c r="L76" s="2">
        <v>78.0</v>
      </c>
      <c r="M76" s="2">
        <v>30.0</v>
      </c>
      <c r="N76" s="11">
        <v>1402045.0</v>
      </c>
      <c r="O76" s="4">
        <v>45748.0</v>
      </c>
      <c r="P76" s="2" t="b">
        <v>1</v>
      </c>
    </row>
    <row r="77">
      <c r="A77" s="2" t="s">
        <v>161</v>
      </c>
      <c r="B77" s="2" t="s">
        <v>75</v>
      </c>
      <c r="C77" s="2" t="s">
        <v>24</v>
      </c>
      <c r="D77" s="2" t="s">
        <v>81</v>
      </c>
      <c r="E77" s="2">
        <v>2891.0</v>
      </c>
      <c r="F77" s="3">
        <v>45439.0</v>
      </c>
      <c r="G77" s="3">
        <v>45566.0</v>
      </c>
      <c r="H77" s="11">
        <v>9.94645453E8</v>
      </c>
      <c r="I77" s="2">
        <v>9.21417392E8</v>
      </c>
      <c r="J77" s="2" t="s">
        <v>20</v>
      </c>
      <c r="K77" s="2" t="s">
        <v>73</v>
      </c>
      <c r="L77" s="2">
        <v>87.0</v>
      </c>
      <c r="M77" s="2">
        <v>127.0</v>
      </c>
      <c r="N77" s="11">
        <v>344049.0</v>
      </c>
      <c r="O77" s="4">
        <v>45413.0</v>
      </c>
      <c r="P77" s="2" t="b">
        <v>1</v>
      </c>
    </row>
    <row r="78">
      <c r="A78" s="2" t="s">
        <v>162</v>
      </c>
      <c r="B78" s="2" t="s">
        <v>163</v>
      </c>
      <c r="C78" s="2" t="s">
        <v>64</v>
      </c>
      <c r="D78" s="2" t="s">
        <v>19</v>
      </c>
      <c r="E78" s="2">
        <v>42.0</v>
      </c>
      <c r="F78" s="3">
        <v>45783.0</v>
      </c>
      <c r="H78" s="2">
        <v>1.9765002E7</v>
      </c>
      <c r="J78" s="2" t="s">
        <v>34</v>
      </c>
      <c r="K78" s="2" t="s">
        <v>30</v>
      </c>
      <c r="M78" s="2">
        <v>152.0</v>
      </c>
      <c r="N78" s="11">
        <v>470595.0</v>
      </c>
      <c r="O78" s="4">
        <v>45778.0</v>
      </c>
      <c r="P78" s="2" t="b">
        <v>0</v>
      </c>
    </row>
    <row r="79">
      <c r="A79" s="2" t="s">
        <v>164</v>
      </c>
      <c r="B79" s="2" t="s">
        <v>165</v>
      </c>
      <c r="C79" s="2" t="s">
        <v>28</v>
      </c>
      <c r="D79" s="2" t="s">
        <v>102</v>
      </c>
      <c r="E79" s="2">
        <v>160.0</v>
      </c>
      <c r="F79" s="3">
        <v>45379.0</v>
      </c>
      <c r="H79" s="2">
        <v>2.12292292E8</v>
      </c>
      <c r="J79" s="2" t="s">
        <v>41</v>
      </c>
      <c r="K79" s="2" t="s">
        <v>73</v>
      </c>
      <c r="M79" s="2">
        <v>167.0</v>
      </c>
      <c r="N79" s="11">
        <v>1326827.0</v>
      </c>
      <c r="O79" s="4">
        <v>45352.0</v>
      </c>
      <c r="P79" s="2" t="b">
        <v>0</v>
      </c>
    </row>
    <row r="80">
      <c r="A80" s="2" t="s">
        <v>166</v>
      </c>
      <c r="B80" s="2" t="s">
        <v>123</v>
      </c>
      <c r="C80" s="2" t="s">
        <v>57</v>
      </c>
      <c r="D80" s="2" t="s">
        <v>33</v>
      </c>
      <c r="E80" s="2">
        <v>95.0</v>
      </c>
      <c r="F80" s="3">
        <v>45268.0</v>
      </c>
      <c r="G80" s="3">
        <v>45309.0</v>
      </c>
      <c r="H80" s="11">
        <v>3.6270034E7</v>
      </c>
      <c r="I80" s="2">
        <v>3.5282349E7</v>
      </c>
      <c r="J80" s="2" t="s">
        <v>20</v>
      </c>
      <c r="K80" s="2" t="s">
        <v>73</v>
      </c>
      <c r="L80" s="2">
        <v>78.0</v>
      </c>
      <c r="M80" s="2">
        <v>41.0</v>
      </c>
      <c r="N80" s="11">
        <v>381790.0</v>
      </c>
      <c r="O80" s="6">
        <v>45261.0</v>
      </c>
      <c r="P80" s="2" t="b">
        <v>1</v>
      </c>
    </row>
    <row r="81">
      <c r="A81" s="2" t="s">
        <v>167</v>
      </c>
      <c r="B81" s="2" t="s">
        <v>60</v>
      </c>
      <c r="C81" s="2" t="s">
        <v>18</v>
      </c>
      <c r="D81" s="2" t="s">
        <v>49</v>
      </c>
      <c r="E81" s="2">
        <v>258.0</v>
      </c>
      <c r="F81" s="3">
        <v>45392.0</v>
      </c>
      <c r="G81" s="3">
        <v>45471.0</v>
      </c>
      <c r="H81" s="11">
        <v>9.9043447E7</v>
      </c>
      <c r="I81" s="2">
        <v>1.06494441E8</v>
      </c>
      <c r="J81" s="2" t="s">
        <v>20</v>
      </c>
      <c r="K81" s="2" t="s">
        <v>73</v>
      </c>
      <c r="L81" s="2">
        <v>136.0</v>
      </c>
      <c r="M81" s="2">
        <v>79.0</v>
      </c>
      <c r="N81" s="11">
        <v>383889.0</v>
      </c>
      <c r="O81" s="4">
        <v>45383.0</v>
      </c>
      <c r="P81" s="2" t="b">
        <v>1</v>
      </c>
    </row>
    <row r="82">
      <c r="A82" s="2" t="s">
        <v>168</v>
      </c>
      <c r="B82" s="2" t="s">
        <v>66</v>
      </c>
      <c r="C82" s="2" t="s">
        <v>57</v>
      </c>
      <c r="D82" s="2" t="s">
        <v>19</v>
      </c>
      <c r="E82" s="2">
        <v>61.0</v>
      </c>
      <c r="F82" s="3">
        <v>45350.0</v>
      </c>
      <c r="G82" s="3">
        <v>45497.0</v>
      </c>
      <c r="H82" s="11">
        <v>1.6504257E7</v>
      </c>
      <c r="I82" s="2">
        <v>1.7181441E7</v>
      </c>
      <c r="J82" s="2" t="s">
        <v>20</v>
      </c>
      <c r="K82" s="2" t="s">
        <v>73</v>
      </c>
      <c r="L82" s="2">
        <v>18.0</v>
      </c>
      <c r="M82" s="2">
        <v>147.0</v>
      </c>
      <c r="N82" s="11">
        <v>270562.0</v>
      </c>
      <c r="O82" s="4">
        <v>45323.0</v>
      </c>
      <c r="P82" s="2" t="b">
        <v>1</v>
      </c>
    </row>
    <row r="83">
      <c r="A83" s="2" t="s">
        <v>169</v>
      </c>
      <c r="B83" s="2" t="s">
        <v>39</v>
      </c>
      <c r="C83" s="2" t="s">
        <v>28</v>
      </c>
      <c r="D83" s="2" t="s">
        <v>58</v>
      </c>
      <c r="E83" s="2">
        <v>83.0</v>
      </c>
      <c r="F83" s="3">
        <v>45828.0</v>
      </c>
      <c r="H83" s="2">
        <v>6.6860415E7</v>
      </c>
      <c r="J83" s="2" t="s">
        <v>41</v>
      </c>
      <c r="K83" s="2" t="s">
        <v>25</v>
      </c>
      <c r="L83" s="2">
        <v>66.0</v>
      </c>
      <c r="N83" s="11">
        <v>805547.0</v>
      </c>
      <c r="O83" s="4">
        <v>45809.0</v>
      </c>
      <c r="P83" s="2" t="b">
        <v>0</v>
      </c>
    </row>
    <row r="84">
      <c r="A84" s="2" t="s">
        <v>170</v>
      </c>
      <c r="B84" s="2" t="s">
        <v>121</v>
      </c>
      <c r="C84" s="2" t="s">
        <v>18</v>
      </c>
      <c r="D84" s="2" t="s">
        <v>37</v>
      </c>
      <c r="E84" s="2">
        <v>582.0</v>
      </c>
      <c r="F84" s="3">
        <v>45344.0</v>
      </c>
      <c r="G84" s="3">
        <v>45388.0</v>
      </c>
      <c r="H84" s="11">
        <v>3.70909042E8</v>
      </c>
      <c r="I84" s="2">
        <v>3.48207399E8</v>
      </c>
      <c r="J84" s="2" t="s">
        <v>20</v>
      </c>
      <c r="K84" s="2" t="s">
        <v>42</v>
      </c>
      <c r="L84" s="2">
        <v>132.0</v>
      </c>
      <c r="M84" s="2">
        <v>44.0</v>
      </c>
      <c r="N84" s="11">
        <v>637301.0</v>
      </c>
      <c r="O84" s="4">
        <v>45323.0</v>
      </c>
      <c r="P84" s="2" t="b">
        <v>1</v>
      </c>
    </row>
    <row r="85">
      <c r="A85" s="2" t="s">
        <v>171</v>
      </c>
      <c r="B85" s="2" t="s">
        <v>39</v>
      </c>
      <c r="C85" s="2" t="s">
        <v>93</v>
      </c>
      <c r="D85" s="2" t="s">
        <v>37</v>
      </c>
      <c r="E85" s="2">
        <v>560.0</v>
      </c>
      <c r="F85" s="3">
        <v>45781.0</v>
      </c>
      <c r="G85" s="3">
        <v>45916.0</v>
      </c>
      <c r="H85" s="11">
        <v>3.50193177E8</v>
      </c>
      <c r="I85" s="2">
        <v>3.53065605E8</v>
      </c>
      <c r="J85" s="2" t="s">
        <v>20</v>
      </c>
      <c r="K85" s="2" t="s">
        <v>73</v>
      </c>
      <c r="L85" s="2">
        <v>53.0</v>
      </c>
      <c r="M85" s="2">
        <v>135.0</v>
      </c>
      <c r="N85" s="11">
        <v>625345.0</v>
      </c>
      <c r="O85" s="4">
        <v>45778.0</v>
      </c>
      <c r="P85" s="2" t="b">
        <v>1</v>
      </c>
    </row>
    <row r="86">
      <c r="A86" s="2" t="s">
        <v>172</v>
      </c>
      <c r="B86" s="2" t="s">
        <v>173</v>
      </c>
      <c r="C86" s="2" t="s">
        <v>93</v>
      </c>
      <c r="D86" s="2" t="s">
        <v>58</v>
      </c>
      <c r="E86" s="2">
        <v>241.0</v>
      </c>
      <c r="F86" s="3">
        <v>45209.0</v>
      </c>
      <c r="G86" s="2" t="s">
        <v>414</v>
      </c>
      <c r="H86" s="11">
        <v>7.8412611E7</v>
      </c>
      <c r="I86" s="2" t="s">
        <v>414</v>
      </c>
      <c r="J86" s="2" t="s">
        <v>69</v>
      </c>
      <c r="K86" s="2" t="s">
        <v>25</v>
      </c>
      <c r="L86" s="2">
        <v>73.0</v>
      </c>
      <c r="N86" s="11">
        <v>325364.0</v>
      </c>
      <c r="O86" s="6">
        <v>45200.0</v>
      </c>
      <c r="P86" s="2" t="b">
        <v>0</v>
      </c>
    </row>
    <row r="87">
      <c r="A87" s="2" t="s">
        <v>174</v>
      </c>
      <c r="B87" s="2" t="s">
        <v>109</v>
      </c>
      <c r="C87" s="2" t="s">
        <v>57</v>
      </c>
      <c r="D87" s="2" t="s">
        <v>37</v>
      </c>
      <c r="E87" s="2">
        <v>452.0</v>
      </c>
      <c r="F87" s="3">
        <v>45602.0</v>
      </c>
      <c r="G87" s="3">
        <v>45655.0</v>
      </c>
      <c r="H87" s="11">
        <v>3.27314781E8</v>
      </c>
      <c r="I87" s="2">
        <v>3.26494733E8</v>
      </c>
      <c r="J87" s="2" t="s">
        <v>20</v>
      </c>
      <c r="K87" s="2" t="s">
        <v>30</v>
      </c>
      <c r="L87" s="2">
        <v>146.0</v>
      </c>
      <c r="M87" s="2">
        <v>53.0</v>
      </c>
      <c r="N87" s="11">
        <v>724148.0</v>
      </c>
      <c r="O87" s="6">
        <v>45597.0</v>
      </c>
      <c r="P87" s="2" t="b">
        <v>1</v>
      </c>
    </row>
    <row r="88">
      <c r="A88" s="2" t="s">
        <v>175</v>
      </c>
      <c r="B88" s="2" t="s">
        <v>88</v>
      </c>
      <c r="C88" s="2" t="s">
        <v>57</v>
      </c>
      <c r="D88" s="2" t="s">
        <v>49</v>
      </c>
      <c r="E88" s="2">
        <v>166.0</v>
      </c>
      <c r="F88" s="3">
        <v>45931.0</v>
      </c>
      <c r="G88" s="2" t="s">
        <v>414</v>
      </c>
      <c r="H88" s="11">
        <v>7.460511E7</v>
      </c>
      <c r="I88" s="2" t="s">
        <v>414</v>
      </c>
      <c r="J88" s="2" t="s">
        <v>34</v>
      </c>
      <c r="K88" s="2" t="s">
        <v>73</v>
      </c>
      <c r="L88" s="2">
        <v>16.0</v>
      </c>
      <c r="N88" s="11">
        <v>449428.0</v>
      </c>
      <c r="O88" s="6">
        <v>45931.0</v>
      </c>
      <c r="P88" s="2" t="b">
        <v>0</v>
      </c>
    </row>
    <row r="89">
      <c r="A89" s="2" t="s">
        <v>176</v>
      </c>
      <c r="B89" s="2" t="s">
        <v>113</v>
      </c>
      <c r="C89" s="2" t="s">
        <v>24</v>
      </c>
      <c r="D89" s="2" t="s">
        <v>81</v>
      </c>
      <c r="E89" s="2">
        <v>3523.0</v>
      </c>
      <c r="F89" s="3">
        <v>45738.0</v>
      </c>
      <c r="G89" s="2" t="s">
        <v>414</v>
      </c>
      <c r="H89" s="11">
        <v>1.440101181E9</v>
      </c>
      <c r="I89" s="2" t="s">
        <v>414</v>
      </c>
      <c r="J89" s="2" t="s">
        <v>41</v>
      </c>
      <c r="K89" s="2" t="s">
        <v>21</v>
      </c>
      <c r="L89" s="2">
        <v>37.0</v>
      </c>
      <c r="N89" s="11">
        <v>408771.0</v>
      </c>
      <c r="O89" s="4">
        <v>45717.0</v>
      </c>
      <c r="P89" s="2" t="b">
        <v>0</v>
      </c>
    </row>
    <row r="90">
      <c r="A90" s="2" t="s">
        <v>177</v>
      </c>
      <c r="B90" s="2" t="s">
        <v>178</v>
      </c>
      <c r="C90" s="2" t="s">
        <v>64</v>
      </c>
      <c r="D90" s="2" t="s">
        <v>29</v>
      </c>
      <c r="E90" s="2">
        <v>3119.0</v>
      </c>
      <c r="F90" s="3">
        <v>45029.0</v>
      </c>
      <c r="G90" s="3">
        <v>45160.0</v>
      </c>
      <c r="H90" s="11">
        <v>5.40735276E8</v>
      </c>
      <c r="I90" s="2">
        <v>5.0994844E8</v>
      </c>
      <c r="J90" s="2" t="s">
        <v>20</v>
      </c>
      <c r="K90" s="2" t="s">
        <v>42</v>
      </c>
      <c r="L90" s="2">
        <v>24.0</v>
      </c>
      <c r="M90" s="2">
        <v>131.0</v>
      </c>
      <c r="N90" s="11">
        <v>173368.0</v>
      </c>
      <c r="O90" s="4">
        <v>45017.0</v>
      </c>
      <c r="P90" s="2" t="b">
        <v>1</v>
      </c>
    </row>
    <row r="91">
      <c r="A91" s="2" t="s">
        <v>179</v>
      </c>
      <c r="B91" s="2" t="s">
        <v>137</v>
      </c>
      <c r="C91" s="2" t="s">
        <v>64</v>
      </c>
      <c r="D91" s="2" t="s">
        <v>37</v>
      </c>
      <c r="E91" s="2">
        <v>473.0</v>
      </c>
      <c r="F91" s="3">
        <v>45334.0</v>
      </c>
      <c r="G91" s="3">
        <v>45433.0</v>
      </c>
      <c r="H91" s="11">
        <v>5.57679851E8</v>
      </c>
      <c r="I91" s="2">
        <v>5.89743514E8</v>
      </c>
      <c r="J91" s="2" t="s">
        <v>20</v>
      </c>
      <c r="K91" s="2" t="s">
        <v>73</v>
      </c>
      <c r="L91" s="2">
        <v>86.0</v>
      </c>
      <c r="M91" s="2">
        <v>99.0</v>
      </c>
      <c r="N91" s="11">
        <v>1179027.0</v>
      </c>
      <c r="O91" s="4">
        <v>45323.0</v>
      </c>
      <c r="P91" s="2" t="b">
        <v>1</v>
      </c>
    </row>
    <row r="92">
      <c r="A92" s="2" t="s">
        <v>180</v>
      </c>
      <c r="B92" s="2" t="s">
        <v>121</v>
      </c>
      <c r="C92" s="2" t="s">
        <v>64</v>
      </c>
      <c r="D92" s="2" t="s">
        <v>81</v>
      </c>
      <c r="E92" s="2">
        <v>4832.0</v>
      </c>
      <c r="F92" s="3">
        <v>44997.0</v>
      </c>
      <c r="G92" s="3">
        <v>45187.0</v>
      </c>
      <c r="H92" s="11">
        <v>1.589536375E9</v>
      </c>
      <c r="I92" s="2">
        <v>1.71604463E9</v>
      </c>
      <c r="J92" s="2" t="s">
        <v>20</v>
      </c>
      <c r="K92" s="2" t="s">
        <v>21</v>
      </c>
      <c r="L92" s="2">
        <v>116.0</v>
      </c>
      <c r="M92" s="2">
        <v>190.0</v>
      </c>
      <c r="N92" s="11">
        <v>328960.0</v>
      </c>
      <c r="O92" s="4">
        <v>44986.0</v>
      </c>
      <c r="P92" s="2" t="b">
        <v>1</v>
      </c>
    </row>
    <row r="93">
      <c r="A93" s="2" t="s">
        <v>181</v>
      </c>
      <c r="B93" s="2" t="s">
        <v>71</v>
      </c>
      <c r="C93" s="2" t="s">
        <v>101</v>
      </c>
      <c r="D93" s="2" t="s">
        <v>33</v>
      </c>
      <c r="E93" s="2">
        <v>93.0</v>
      </c>
      <c r="F93" s="3">
        <v>45233.0</v>
      </c>
      <c r="G93" s="2" t="s">
        <v>414</v>
      </c>
      <c r="H93" s="11">
        <v>2.4601519E7</v>
      </c>
      <c r="I93" s="2" t="s">
        <v>414</v>
      </c>
      <c r="J93" s="2" t="s">
        <v>41</v>
      </c>
      <c r="K93" s="2" t="s">
        <v>21</v>
      </c>
      <c r="L93" s="2">
        <v>80.0</v>
      </c>
      <c r="N93" s="11">
        <v>264532.0</v>
      </c>
      <c r="O93" s="6">
        <v>45231.0</v>
      </c>
      <c r="P93" s="2" t="b">
        <v>0</v>
      </c>
    </row>
    <row r="94">
      <c r="A94" s="2" t="s">
        <v>182</v>
      </c>
      <c r="B94" s="2" t="s">
        <v>183</v>
      </c>
      <c r="C94" s="2" t="s">
        <v>24</v>
      </c>
      <c r="D94" s="2" t="s">
        <v>49</v>
      </c>
      <c r="E94" s="2">
        <v>87.0</v>
      </c>
      <c r="F94" s="3">
        <v>45348.0</v>
      </c>
      <c r="G94" s="3">
        <v>45409.0</v>
      </c>
      <c r="H94" s="11">
        <v>7.2677542E7</v>
      </c>
      <c r="I94" s="2">
        <v>6.7781614E7</v>
      </c>
      <c r="J94" s="2" t="s">
        <v>20</v>
      </c>
      <c r="K94" s="2" t="s">
        <v>73</v>
      </c>
      <c r="L94" s="2">
        <v>163.0</v>
      </c>
      <c r="M94" s="2">
        <v>61.0</v>
      </c>
      <c r="N94" s="11">
        <v>835374.0</v>
      </c>
      <c r="O94" s="4">
        <v>45323.0</v>
      </c>
      <c r="P94" s="2" t="b">
        <v>1</v>
      </c>
    </row>
    <row r="95">
      <c r="A95" s="2" t="s">
        <v>184</v>
      </c>
      <c r="B95" s="2" t="s">
        <v>132</v>
      </c>
      <c r="C95" s="2" t="s">
        <v>18</v>
      </c>
      <c r="D95" s="2" t="s">
        <v>81</v>
      </c>
      <c r="E95" s="2">
        <v>1572.0</v>
      </c>
      <c r="F95" s="3">
        <v>45580.0</v>
      </c>
      <c r="G95" s="3">
        <v>45660.0</v>
      </c>
      <c r="H95" s="11">
        <v>2.94925586E8</v>
      </c>
      <c r="I95" s="2">
        <v>3.13749319E8</v>
      </c>
      <c r="J95" s="2" t="s">
        <v>20</v>
      </c>
      <c r="K95" s="2" t="s">
        <v>73</v>
      </c>
      <c r="L95" s="2">
        <v>78.0</v>
      </c>
      <c r="M95" s="2">
        <v>80.0</v>
      </c>
      <c r="N95" s="11">
        <v>187612.0</v>
      </c>
      <c r="O95" s="6">
        <v>45566.0</v>
      </c>
      <c r="P95" s="2" t="b">
        <v>1</v>
      </c>
    </row>
    <row r="96">
      <c r="A96" s="2" t="s">
        <v>185</v>
      </c>
      <c r="B96" s="2" t="s">
        <v>95</v>
      </c>
      <c r="C96" s="2" t="s">
        <v>18</v>
      </c>
      <c r="D96" s="2" t="s">
        <v>102</v>
      </c>
      <c r="E96" s="2">
        <v>109.0</v>
      </c>
      <c r="F96" s="3">
        <v>45938.0</v>
      </c>
      <c r="G96" s="2" t="s">
        <v>414</v>
      </c>
      <c r="H96" s="11">
        <v>4.7108063E7</v>
      </c>
      <c r="I96" s="2">
        <v>4.8542511E7</v>
      </c>
      <c r="J96" s="2" t="s">
        <v>20</v>
      </c>
      <c r="K96" s="2" t="s">
        <v>73</v>
      </c>
      <c r="L96" s="2">
        <v>82.0</v>
      </c>
      <c r="M96" s="2">
        <v>178.0</v>
      </c>
      <c r="N96" s="11">
        <v>432184.0</v>
      </c>
      <c r="O96" s="6">
        <v>45931.0</v>
      </c>
      <c r="P96" s="2" t="b">
        <v>1</v>
      </c>
    </row>
    <row r="97">
      <c r="A97" s="2" t="s">
        <v>186</v>
      </c>
      <c r="B97" s="2" t="s">
        <v>129</v>
      </c>
      <c r="C97" s="2" t="s">
        <v>28</v>
      </c>
      <c r="D97" s="2" t="s">
        <v>49</v>
      </c>
      <c r="E97" s="2">
        <v>268.0</v>
      </c>
      <c r="F97" s="3">
        <v>45169.0</v>
      </c>
      <c r="G97" s="3">
        <v>45275.0</v>
      </c>
      <c r="H97" s="11">
        <v>3.44409608E8</v>
      </c>
      <c r="I97" s="2">
        <v>3.71559667E8</v>
      </c>
      <c r="J97" s="2" t="s">
        <v>20</v>
      </c>
      <c r="K97" s="2" t="s">
        <v>30</v>
      </c>
      <c r="L97" s="2">
        <v>10.0</v>
      </c>
      <c r="M97" s="2">
        <v>106.0</v>
      </c>
      <c r="N97" s="11">
        <v>1285110.0</v>
      </c>
      <c r="O97" s="4">
        <v>45139.0</v>
      </c>
      <c r="P97" s="2" t="b">
        <v>1</v>
      </c>
    </row>
    <row r="98">
      <c r="A98" s="2" t="s">
        <v>187</v>
      </c>
      <c r="B98" s="2" t="s">
        <v>121</v>
      </c>
      <c r="C98" s="2" t="s">
        <v>101</v>
      </c>
      <c r="D98" s="2" t="s">
        <v>49</v>
      </c>
      <c r="E98" s="2">
        <v>120.0</v>
      </c>
      <c r="F98" s="3">
        <v>45812.0</v>
      </c>
      <c r="G98" s="2" t="s">
        <v>414</v>
      </c>
      <c r="H98" s="11">
        <v>5.6221049E7</v>
      </c>
      <c r="I98" s="2" t="s">
        <v>414</v>
      </c>
      <c r="J98" s="2" t="s">
        <v>34</v>
      </c>
      <c r="K98" s="2" t="s">
        <v>25</v>
      </c>
      <c r="L98" s="2">
        <v>132.0</v>
      </c>
      <c r="N98" s="11">
        <v>468509.0</v>
      </c>
      <c r="O98" s="4">
        <v>45809.0</v>
      </c>
      <c r="P98" s="2" t="b">
        <v>0</v>
      </c>
    </row>
    <row r="99">
      <c r="A99" s="2" t="s">
        <v>188</v>
      </c>
      <c r="B99" s="2" t="s">
        <v>36</v>
      </c>
      <c r="C99" s="2" t="s">
        <v>40</v>
      </c>
      <c r="D99" s="2" t="s">
        <v>37</v>
      </c>
      <c r="E99" s="2">
        <v>417.0</v>
      </c>
      <c r="F99" s="3">
        <v>45151.0</v>
      </c>
      <c r="G99" s="3">
        <v>45324.0</v>
      </c>
      <c r="H99" s="11">
        <v>2.17940002E8</v>
      </c>
      <c r="I99" s="2">
        <v>2.26852085E8</v>
      </c>
      <c r="J99" s="2" t="s">
        <v>20</v>
      </c>
      <c r="K99" s="2" t="s">
        <v>42</v>
      </c>
      <c r="L99" s="2">
        <v>165.0</v>
      </c>
      <c r="M99" s="2">
        <v>173.0</v>
      </c>
      <c r="N99" s="11">
        <v>522638.0</v>
      </c>
      <c r="O99" s="4">
        <v>45139.0</v>
      </c>
      <c r="P99" s="2" t="b">
        <v>1</v>
      </c>
    </row>
    <row r="100">
      <c r="A100" s="2" t="s">
        <v>189</v>
      </c>
      <c r="B100" s="2" t="s">
        <v>129</v>
      </c>
      <c r="C100" s="2" t="s">
        <v>28</v>
      </c>
      <c r="D100" s="2" t="s">
        <v>19</v>
      </c>
      <c r="E100" s="2">
        <v>49.0</v>
      </c>
      <c r="F100" s="3">
        <v>45520.0</v>
      </c>
      <c r="G100" s="3">
        <v>45568.0</v>
      </c>
      <c r="H100" s="11">
        <v>3.1368503E7</v>
      </c>
      <c r="I100" s="2">
        <v>3.034017E7</v>
      </c>
      <c r="J100" s="2" t="s">
        <v>20</v>
      </c>
      <c r="K100" s="2" t="s">
        <v>73</v>
      </c>
      <c r="L100" s="2">
        <v>49.0</v>
      </c>
      <c r="M100" s="2">
        <v>48.0</v>
      </c>
      <c r="N100" s="11">
        <v>640174.0</v>
      </c>
      <c r="O100" s="4">
        <v>45505.0</v>
      </c>
      <c r="P100" s="2" t="b">
        <v>1</v>
      </c>
    </row>
    <row r="101">
      <c r="A101" s="2" t="s">
        <v>190</v>
      </c>
      <c r="B101" s="2" t="s">
        <v>32</v>
      </c>
      <c r="C101" s="2" t="s">
        <v>28</v>
      </c>
      <c r="D101" s="2" t="s">
        <v>58</v>
      </c>
      <c r="E101" s="2">
        <v>274.0</v>
      </c>
      <c r="F101" s="3">
        <v>45440.0</v>
      </c>
      <c r="G101" s="2" t="s">
        <v>414</v>
      </c>
      <c r="H101" s="11">
        <v>2.44094766E8</v>
      </c>
      <c r="I101" s="2" t="s">
        <v>414</v>
      </c>
      <c r="J101" s="2" t="s">
        <v>41</v>
      </c>
      <c r="K101" s="2" t="s">
        <v>73</v>
      </c>
      <c r="L101" s="2">
        <v>80.0</v>
      </c>
      <c r="N101" s="11">
        <v>890857.0</v>
      </c>
      <c r="O101" s="4">
        <v>45413.0</v>
      </c>
      <c r="P101" s="2" t="b">
        <v>0</v>
      </c>
    </row>
    <row r="102">
      <c r="A102" s="2" t="s">
        <v>191</v>
      </c>
      <c r="B102" s="2" t="s">
        <v>129</v>
      </c>
      <c r="C102" s="2" t="s">
        <v>57</v>
      </c>
      <c r="D102" s="2" t="s">
        <v>67</v>
      </c>
      <c r="E102" s="2">
        <v>28.0</v>
      </c>
      <c r="F102" s="3">
        <v>45071.0</v>
      </c>
      <c r="G102" s="2" t="s">
        <v>414</v>
      </c>
      <c r="H102" s="11">
        <v>7489120.0</v>
      </c>
      <c r="I102" s="2" t="s">
        <v>414</v>
      </c>
      <c r="J102" s="2" t="s">
        <v>41</v>
      </c>
      <c r="K102" s="2" t="s">
        <v>73</v>
      </c>
      <c r="L102" s="2">
        <v>147.0</v>
      </c>
      <c r="N102" s="11">
        <v>267469.0</v>
      </c>
      <c r="O102" s="4">
        <v>45047.0</v>
      </c>
      <c r="P102" s="2" t="b">
        <v>0</v>
      </c>
    </row>
    <row r="103">
      <c r="A103" s="2" t="s">
        <v>192</v>
      </c>
      <c r="B103" s="2" t="s">
        <v>63</v>
      </c>
      <c r="C103" s="2" t="s">
        <v>24</v>
      </c>
      <c r="D103" s="2" t="s">
        <v>49</v>
      </c>
      <c r="E103" s="2">
        <v>53.0</v>
      </c>
      <c r="F103" s="3">
        <v>45053.0</v>
      </c>
      <c r="G103" s="3">
        <v>45240.0</v>
      </c>
      <c r="H103" s="11">
        <v>5.5445431E7</v>
      </c>
      <c r="I103" s="2">
        <v>5.33355E7</v>
      </c>
      <c r="J103" s="2" t="s">
        <v>20</v>
      </c>
      <c r="K103" s="2" t="s">
        <v>73</v>
      </c>
      <c r="L103" s="2">
        <v>168.0</v>
      </c>
      <c r="M103" s="2">
        <v>187.0</v>
      </c>
      <c r="N103" s="11">
        <v>1046140.0</v>
      </c>
      <c r="O103" s="4">
        <v>45047.0</v>
      </c>
      <c r="P103" s="2" t="b">
        <v>1</v>
      </c>
    </row>
    <row r="104">
      <c r="A104" s="2" t="s">
        <v>193</v>
      </c>
      <c r="B104" s="2" t="s">
        <v>132</v>
      </c>
      <c r="C104" s="2" t="s">
        <v>93</v>
      </c>
      <c r="D104" s="2" t="s">
        <v>33</v>
      </c>
      <c r="E104" s="2">
        <v>108.0</v>
      </c>
      <c r="F104" s="3">
        <v>44952.0</v>
      </c>
      <c r="G104" s="3">
        <v>45110.0</v>
      </c>
      <c r="H104" s="11">
        <v>3.1790961E7</v>
      </c>
      <c r="I104" s="2">
        <v>3.23509E7</v>
      </c>
      <c r="J104" s="2" t="s">
        <v>20</v>
      </c>
      <c r="K104" s="2" t="s">
        <v>21</v>
      </c>
      <c r="L104" s="2">
        <v>167.0</v>
      </c>
      <c r="M104" s="2">
        <v>158.0</v>
      </c>
      <c r="N104" s="11">
        <v>294361.0</v>
      </c>
      <c r="O104" s="4">
        <v>44927.0</v>
      </c>
      <c r="P104" s="2" t="b">
        <v>1</v>
      </c>
    </row>
    <row r="105">
      <c r="A105" s="2" t="s">
        <v>194</v>
      </c>
      <c r="B105" s="2" t="s">
        <v>80</v>
      </c>
      <c r="C105" s="2" t="s">
        <v>57</v>
      </c>
      <c r="D105" s="2" t="s">
        <v>37</v>
      </c>
      <c r="E105" s="2">
        <v>632.0</v>
      </c>
      <c r="F105" s="3">
        <v>45070.0</v>
      </c>
      <c r="G105" s="3">
        <v>45094.0</v>
      </c>
      <c r="H105" s="11">
        <v>4.3235693E8</v>
      </c>
      <c r="I105" s="2">
        <v>4.31846722E8</v>
      </c>
      <c r="J105" s="2" t="s">
        <v>20</v>
      </c>
      <c r="K105" s="2" t="s">
        <v>21</v>
      </c>
      <c r="L105" s="2">
        <v>65.0</v>
      </c>
      <c r="M105" s="2">
        <v>24.0</v>
      </c>
      <c r="N105" s="11">
        <v>684109.0</v>
      </c>
      <c r="O105" s="4">
        <v>45047.0</v>
      </c>
      <c r="P105" s="2" t="b">
        <v>1</v>
      </c>
    </row>
    <row r="106">
      <c r="A106" s="2" t="s">
        <v>195</v>
      </c>
      <c r="B106" s="2" t="s">
        <v>95</v>
      </c>
      <c r="C106" s="2" t="s">
        <v>40</v>
      </c>
      <c r="D106" s="2" t="s">
        <v>102</v>
      </c>
      <c r="E106" s="2">
        <v>149.0</v>
      </c>
      <c r="F106" s="3">
        <v>45613.0</v>
      </c>
      <c r="G106" s="2" t="s">
        <v>414</v>
      </c>
      <c r="H106" s="11">
        <v>5.7196892E7</v>
      </c>
      <c r="I106" s="2" t="s">
        <v>414</v>
      </c>
      <c r="J106" s="2" t="s">
        <v>34</v>
      </c>
      <c r="K106" s="2" t="s">
        <v>73</v>
      </c>
      <c r="L106" s="2">
        <v>155.0</v>
      </c>
      <c r="N106" s="11">
        <v>383872.0</v>
      </c>
      <c r="O106" s="6">
        <v>45597.0</v>
      </c>
      <c r="P106" s="2" t="b">
        <v>0</v>
      </c>
    </row>
    <row r="107">
      <c r="A107" s="2" t="s">
        <v>196</v>
      </c>
      <c r="B107" s="2" t="s">
        <v>178</v>
      </c>
      <c r="C107" s="2" t="s">
        <v>57</v>
      </c>
      <c r="D107" s="2" t="s">
        <v>102</v>
      </c>
      <c r="E107" s="2">
        <v>153.0</v>
      </c>
      <c r="F107" s="3">
        <v>45557.0</v>
      </c>
      <c r="G107" s="3">
        <v>45643.0</v>
      </c>
      <c r="H107" s="11">
        <v>5.2820894E7</v>
      </c>
      <c r="I107" s="2">
        <v>5.1726698E7</v>
      </c>
      <c r="J107" s="2" t="s">
        <v>20</v>
      </c>
      <c r="K107" s="2" t="s">
        <v>73</v>
      </c>
      <c r="L107" s="2">
        <v>118.0</v>
      </c>
      <c r="M107" s="2">
        <v>86.0</v>
      </c>
      <c r="N107" s="11">
        <v>345235.0</v>
      </c>
      <c r="O107" s="4">
        <v>45536.0</v>
      </c>
      <c r="P107" s="2" t="b">
        <v>1</v>
      </c>
    </row>
    <row r="108">
      <c r="A108" s="2" t="s">
        <v>197</v>
      </c>
      <c r="B108" s="2" t="s">
        <v>32</v>
      </c>
      <c r="C108" s="2" t="s">
        <v>101</v>
      </c>
      <c r="D108" s="2" t="s">
        <v>67</v>
      </c>
      <c r="E108" s="2">
        <v>28.0</v>
      </c>
      <c r="F108" s="3">
        <v>45850.0</v>
      </c>
      <c r="G108" s="2" t="s">
        <v>414</v>
      </c>
      <c r="H108" s="11">
        <v>4626372.0</v>
      </c>
      <c r="I108" s="2" t="s">
        <v>414</v>
      </c>
      <c r="J108" s="2" t="s">
        <v>69</v>
      </c>
      <c r="K108" s="2" t="s">
        <v>30</v>
      </c>
      <c r="L108" s="2">
        <v>53.0</v>
      </c>
      <c r="N108" s="11">
        <v>165228.0</v>
      </c>
      <c r="O108" s="4">
        <v>45839.0</v>
      </c>
      <c r="P108" s="2" t="b">
        <v>0</v>
      </c>
    </row>
    <row r="109">
      <c r="A109" s="2" t="s">
        <v>198</v>
      </c>
      <c r="B109" s="2" t="s">
        <v>163</v>
      </c>
      <c r="C109" s="2" t="s">
        <v>101</v>
      </c>
      <c r="D109" s="2" t="s">
        <v>81</v>
      </c>
      <c r="E109" s="2">
        <v>1150.0</v>
      </c>
      <c r="F109" s="3">
        <v>45581.0</v>
      </c>
      <c r="G109" s="3">
        <v>45601.0</v>
      </c>
      <c r="H109" s="11">
        <v>1.6212411E8</v>
      </c>
      <c r="I109" s="2">
        <v>1.57805361E8</v>
      </c>
      <c r="J109" s="2" t="s">
        <v>20</v>
      </c>
      <c r="K109" s="2" t="s">
        <v>42</v>
      </c>
      <c r="L109" s="2">
        <v>149.0</v>
      </c>
      <c r="M109" s="2">
        <v>20.0</v>
      </c>
      <c r="N109" s="11">
        <v>140977.0</v>
      </c>
      <c r="O109" s="6">
        <v>45566.0</v>
      </c>
      <c r="P109" s="2" t="b">
        <v>1</v>
      </c>
    </row>
    <row r="110">
      <c r="A110" s="2" t="s">
        <v>199</v>
      </c>
      <c r="B110" s="2" t="s">
        <v>135</v>
      </c>
      <c r="C110" s="2" t="s">
        <v>28</v>
      </c>
      <c r="D110" s="2" t="s">
        <v>58</v>
      </c>
      <c r="E110" s="2">
        <v>103.0</v>
      </c>
      <c r="F110" s="3">
        <v>45759.0</v>
      </c>
      <c r="G110" s="2" t="s">
        <v>414</v>
      </c>
      <c r="H110" s="11">
        <v>1.11689476E8</v>
      </c>
      <c r="I110" s="2" t="s">
        <v>414</v>
      </c>
      <c r="J110" s="2" t="s">
        <v>69</v>
      </c>
      <c r="K110" s="2" t="s">
        <v>25</v>
      </c>
      <c r="L110" s="2">
        <v>5.0</v>
      </c>
      <c r="N110" s="11">
        <v>1084364.0</v>
      </c>
      <c r="O110" s="4">
        <v>45748.0</v>
      </c>
      <c r="P110" s="2" t="b">
        <v>0</v>
      </c>
    </row>
    <row r="111">
      <c r="A111" s="2" t="s">
        <v>200</v>
      </c>
      <c r="B111" s="2" t="s">
        <v>201</v>
      </c>
      <c r="C111" s="2" t="s">
        <v>24</v>
      </c>
      <c r="D111" s="2" t="s">
        <v>102</v>
      </c>
      <c r="E111" s="2">
        <v>116.0</v>
      </c>
      <c r="F111" s="3">
        <v>45744.0</v>
      </c>
      <c r="G111" s="3">
        <v>45928.0</v>
      </c>
      <c r="H111" s="11">
        <v>1.12777585E8</v>
      </c>
      <c r="I111" s="2">
        <v>1.0613369E8</v>
      </c>
      <c r="J111" s="2" t="s">
        <v>20</v>
      </c>
      <c r="K111" s="2" t="s">
        <v>30</v>
      </c>
      <c r="L111" s="2">
        <v>65.0</v>
      </c>
      <c r="M111" s="2">
        <v>184.0</v>
      </c>
      <c r="N111" s="11">
        <v>972221.0</v>
      </c>
      <c r="O111" s="4">
        <v>45717.0</v>
      </c>
      <c r="P111" s="2" t="b">
        <v>1</v>
      </c>
    </row>
    <row r="112">
      <c r="A112" s="2" t="s">
        <v>202</v>
      </c>
      <c r="B112" s="2" t="s">
        <v>92</v>
      </c>
      <c r="C112" s="2" t="s">
        <v>64</v>
      </c>
      <c r="D112" s="2" t="s">
        <v>19</v>
      </c>
      <c r="E112" s="2">
        <v>45.0</v>
      </c>
      <c r="F112" s="3">
        <v>45056.0</v>
      </c>
      <c r="G112" s="2" t="s">
        <v>414</v>
      </c>
      <c r="H112" s="11">
        <v>1.54131E7</v>
      </c>
      <c r="I112" s="2" t="s">
        <v>414</v>
      </c>
      <c r="J112" s="2" t="s">
        <v>34</v>
      </c>
      <c r="K112" s="2" t="s">
        <v>21</v>
      </c>
      <c r="L112" s="2">
        <v>126.0</v>
      </c>
      <c r="N112" s="11">
        <v>342513.0</v>
      </c>
      <c r="O112" s="4">
        <v>45047.0</v>
      </c>
      <c r="P112" s="2" t="b">
        <v>0</v>
      </c>
    </row>
    <row r="113">
      <c r="A113" s="2" t="s">
        <v>203</v>
      </c>
      <c r="B113" s="2" t="s">
        <v>204</v>
      </c>
      <c r="C113" s="2" t="s">
        <v>24</v>
      </c>
      <c r="D113" s="2" t="s">
        <v>67</v>
      </c>
      <c r="E113" s="2">
        <v>41.0</v>
      </c>
      <c r="F113" s="3">
        <v>45389.0</v>
      </c>
      <c r="G113" s="3">
        <v>45561.0</v>
      </c>
      <c r="H113" s="11">
        <v>1.6180339E7</v>
      </c>
      <c r="I113" s="2">
        <v>1.6913572E7</v>
      </c>
      <c r="J113" s="2" t="s">
        <v>20</v>
      </c>
      <c r="K113" s="2" t="s">
        <v>25</v>
      </c>
      <c r="L113" s="2">
        <v>82.0</v>
      </c>
      <c r="M113" s="2">
        <v>172.0</v>
      </c>
      <c r="N113" s="11">
        <v>394642.0</v>
      </c>
      <c r="O113" s="4">
        <v>45383.0</v>
      </c>
      <c r="P113" s="2" t="b">
        <v>1</v>
      </c>
    </row>
    <row r="114">
      <c r="A114" s="2" t="s">
        <v>205</v>
      </c>
      <c r="B114" s="2" t="s">
        <v>153</v>
      </c>
      <c r="C114" s="2" t="s">
        <v>64</v>
      </c>
      <c r="D114" s="2" t="s">
        <v>19</v>
      </c>
      <c r="E114" s="2">
        <v>41.0</v>
      </c>
      <c r="F114" s="3">
        <v>45363.0</v>
      </c>
      <c r="G114" s="2" t="s">
        <v>414</v>
      </c>
      <c r="H114" s="11">
        <v>1.7799018E7</v>
      </c>
      <c r="I114" s="2" t="s">
        <v>414</v>
      </c>
      <c r="J114" s="2" t="s">
        <v>69</v>
      </c>
      <c r="K114" s="2" t="s">
        <v>73</v>
      </c>
      <c r="L114" s="2">
        <v>23.0</v>
      </c>
      <c r="N114" s="11">
        <v>434122.0</v>
      </c>
      <c r="O114" s="4">
        <v>45352.0</v>
      </c>
      <c r="P114" s="2" t="b">
        <v>0</v>
      </c>
    </row>
    <row r="115">
      <c r="A115" s="2" t="s">
        <v>206</v>
      </c>
      <c r="B115" s="2" t="s">
        <v>173</v>
      </c>
      <c r="C115" s="2" t="s">
        <v>40</v>
      </c>
      <c r="D115" s="2" t="s">
        <v>67</v>
      </c>
      <c r="E115" s="2">
        <v>44.0</v>
      </c>
      <c r="F115" s="3">
        <v>45056.0</v>
      </c>
      <c r="G115" s="3">
        <v>45233.0</v>
      </c>
      <c r="H115" s="11">
        <v>8347923.0</v>
      </c>
      <c r="I115" s="2">
        <v>8631288.0</v>
      </c>
      <c r="J115" s="2" t="s">
        <v>20</v>
      </c>
      <c r="K115" s="2" t="s">
        <v>73</v>
      </c>
      <c r="L115" s="2">
        <v>157.0</v>
      </c>
      <c r="M115" s="2">
        <v>177.0</v>
      </c>
      <c r="N115" s="11">
        <v>189726.0</v>
      </c>
      <c r="O115" s="4">
        <v>45047.0</v>
      </c>
      <c r="P115" s="2" t="b">
        <v>1</v>
      </c>
    </row>
    <row r="116">
      <c r="A116" s="2" t="s">
        <v>207</v>
      </c>
      <c r="B116" s="2" t="s">
        <v>208</v>
      </c>
      <c r="C116" s="2" t="s">
        <v>64</v>
      </c>
      <c r="D116" s="2" t="s">
        <v>81</v>
      </c>
      <c r="E116" s="2">
        <v>4541.0</v>
      </c>
      <c r="F116" s="3">
        <v>45028.0</v>
      </c>
      <c r="G116" s="2" t="s">
        <v>414</v>
      </c>
      <c r="H116" s="11">
        <v>1.460392936E9</v>
      </c>
      <c r="I116" s="2" t="s">
        <v>414</v>
      </c>
      <c r="J116" s="2" t="s">
        <v>41</v>
      </c>
      <c r="K116" s="2" t="s">
        <v>25</v>
      </c>
      <c r="L116" s="2">
        <v>60.0</v>
      </c>
      <c r="N116" s="11">
        <v>321602.0</v>
      </c>
      <c r="O116" s="4">
        <v>45017.0</v>
      </c>
      <c r="P116" s="2" t="b">
        <v>0</v>
      </c>
    </row>
    <row r="117">
      <c r="A117" s="2" t="s">
        <v>209</v>
      </c>
      <c r="B117" s="2" t="s">
        <v>123</v>
      </c>
      <c r="C117" s="2" t="s">
        <v>24</v>
      </c>
      <c r="D117" s="2" t="s">
        <v>72</v>
      </c>
      <c r="E117" s="2">
        <v>285.0</v>
      </c>
      <c r="F117" s="3">
        <v>45335.0</v>
      </c>
      <c r="G117" s="3">
        <v>45374.0</v>
      </c>
      <c r="H117" s="11">
        <v>3.25120198E8</v>
      </c>
      <c r="I117" s="2">
        <v>3.15367818E8</v>
      </c>
      <c r="J117" s="2" t="s">
        <v>20</v>
      </c>
      <c r="K117" s="2" t="s">
        <v>30</v>
      </c>
      <c r="L117" s="2">
        <v>100.0</v>
      </c>
      <c r="M117" s="2">
        <v>39.0</v>
      </c>
      <c r="N117" s="11">
        <v>1140773.0</v>
      </c>
      <c r="O117" s="4">
        <v>45323.0</v>
      </c>
      <c r="P117" s="2" t="b">
        <v>1</v>
      </c>
    </row>
    <row r="118">
      <c r="A118" s="2" t="s">
        <v>210</v>
      </c>
      <c r="B118" s="2" t="s">
        <v>211</v>
      </c>
      <c r="C118" s="2" t="s">
        <v>101</v>
      </c>
      <c r="D118" s="2" t="s">
        <v>81</v>
      </c>
      <c r="E118" s="2">
        <v>949.0</v>
      </c>
      <c r="F118" s="3">
        <v>45022.0</v>
      </c>
      <c r="G118" s="3">
        <v>45227.0</v>
      </c>
      <c r="H118" s="11">
        <v>1.76109707E8</v>
      </c>
      <c r="I118" s="2">
        <v>1.84894602E8</v>
      </c>
      <c r="J118" s="2" t="s">
        <v>20</v>
      </c>
      <c r="K118" s="2" t="s">
        <v>25</v>
      </c>
      <c r="L118" s="2">
        <v>20.0</v>
      </c>
      <c r="M118" s="2">
        <v>205.0</v>
      </c>
      <c r="N118" s="11">
        <v>185574.0</v>
      </c>
      <c r="O118" s="4">
        <v>45017.0</v>
      </c>
      <c r="P118" s="2" t="b">
        <v>1</v>
      </c>
    </row>
    <row r="119">
      <c r="A119" s="2" t="s">
        <v>212</v>
      </c>
      <c r="B119" s="2" t="s">
        <v>142</v>
      </c>
      <c r="C119" s="2" t="s">
        <v>64</v>
      </c>
      <c r="D119" s="2" t="s">
        <v>58</v>
      </c>
      <c r="E119" s="2">
        <v>193.0</v>
      </c>
      <c r="F119" s="3">
        <v>45052.0</v>
      </c>
      <c r="G119" s="3">
        <v>45237.0</v>
      </c>
      <c r="H119" s="11">
        <v>1.17169086E8</v>
      </c>
      <c r="I119" s="2">
        <v>1.15724379E8</v>
      </c>
      <c r="J119" s="2" t="s">
        <v>20</v>
      </c>
      <c r="K119" s="2" t="s">
        <v>21</v>
      </c>
      <c r="L119" s="2">
        <v>78.0</v>
      </c>
      <c r="M119" s="2">
        <v>185.0</v>
      </c>
      <c r="N119" s="11">
        <v>607094.0</v>
      </c>
      <c r="O119" s="4">
        <v>45047.0</v>
      </c>
      <c r="P119" s="2" t="b">
        <v>1</v>
      </c>
    </row>
    <row r="120">
      <c r="A120" s="2" t="s">
        <v>213</v>
      </c>
      <c r="B120" s="2" t="s">
        <v>109</v>
      </c>
      <c r="C120" s="2" t="s">
        <v>64</v>
      </c>
      <c r="D120" s="2" t="s">
        <v>67</v>
      </c>
      <c r="E120" s="2">
        <v>28.0</v>
      </c>
      <c r="F120" s="3">
        <v>45144.0</v>
      </c>
      <c r="G120" s="3">
        <v>45282.0</v>
      </c>
      <c r="H120" s="11">
        <v>8288135.0</v>
      </c>
      <c r="I120" s="2">
        <v>7768592.0</v>
      </c>
      <c r="J120" s="2" t="s">
        <v>20</v>
      </c>
      <c r="K120" s="2" t="s">
        <v>25</v>
      </c>
      <c r="L120" s="2">
        <v>99.0</v>
      </c>
      <c r="M120" s="2">
        <v>138.0</v>
      </c>
      <c r="N120" s="11">
        <v>296005.0</v>
      </c>
      <c r="O120" s="4">
        <v>45139.0</v>
      </c>
      <c r="P120" s="2" t="b">
        <v>1</v>
      </c>
    </row>
    <row r="121">
      <c r="A121" s="2" t="s">
        <v>214</v>
      </c>
      <c r="B121" s="2" t="s">
        <v>132</v>
      </c>
      <c r="C121" s="2" t="s">
        <v>28</v>
      </c>
      <c r="D121" s="2" t="s">
        <v>37</v>
      </c>
      <c r="E121" s="2">
        <v>593.0</v>
      </c>
      <c r="F121" s="3">
        <v>45792.0</v>
      </c>
      <c r="G121" s="3">
        <v>45966.0</v>
      </c>
      <c r="H121" s="11">
        <v>1.214732518E9</v>
      </c>
      <c r="I121" s="2">
        <v>1.242467128E9</v>
      </c>
      <c r="J121" s="2" t="s">
        <v>20</v>
      </c>
      <c r="K121" s="2" t="s">
        <v>21</v>
      </c>
      <c r="L121" s="2">
        <v>160.0</v>
      </c>
      <c r="M121" s="2">
        <v>174.0</v>
      </c>
      <c r="N121" s="11">
        <v>2048453.0</v>
      </c>
      <c r="O121" s="4">
        <v>45778.0</v>
      </c>
      <c r="P121" s="2" t="b">
        <v>1</v>
      </c>
    </row>
    <row r="122">
      <c r="A122" s="2" t="s">
        <v>215</v>
      </c>
      <c r="B122" s="2" t="s">
        <v>160</v>
      </c>
      <c r="C122" s="2" t="s">
        <v>93</v>
      </c>
      <c r="D122" s="2" t="s">
        <v>37</v>
      </c>
      <c r="E122" s="2">
        <v>314.0</v>
      </c>
      <c r="F122" s="3">
        <v>45646.0</v>
      </c>
      <c r="G122" s="2" t="s">
        <v>414</v>
      </c>
      <c r="H122" s="11">
        <v>2.05252437E8</v>
      </c>
      <c r="I122" s="2" t="s">
        <v>414</v>
      </c>
      <c r="J122" s="2" t="s">
        <v>69</v>
      </c>
      <c r="K122" s="2" t="s">
        <v>42</v>
      </c>
      <c r="L122" s="2">
        <v>41.0</v>
      </c>
      <c r="N122" s="11">
        <v>653670.0</v>
      </c>
      <c r="O122" s="6">
        <v>45627.0</v>
      </c>
      <c r="P122" s="2" t="b">
        <v>0</v>
      </c>
    </row>
    <row r="123">
      <c r="A123" s="2" t="s">
        <v>216</v>
      </c>
      <c r="B123" s="2" t="s">
        <v>71</v>
      </c>
      <c r="C123" s="2" t="s">
        <v>64</v>
      </c>
      <c r="D123" s="2" t="s">
        <v>49</v>
      </c>
      <c r="E123" s="2">
        <v>67.0</v>
      </c>
      <c r="F123" s="3">
        <v>45575.0</v>
      </c>
      <c r="G123" s="2" t="s">
        <v>414</v>
      </c>
      <c r="H123" s="11">
        <v>4.847585E7</v>
      </c>
      <c r="I123" s="2" t="s">
        <v>414</v>
      </c>
      <c r="J123" s="2" t="s">
        <v>41</v>
      </c>
      <c r="K123" s="2" t="s">
        <v>42</v>
      </c>
      <c r="L123" s="2">
        <v>101.0</v>
      </c>
      <c r="N123" s="11">
        <v>723520.0</v>
      </c>
      <c r="O123" s="6">
        <v>45566.0</v>
      </c>
      <c r="P123" s="2" t="b">
        <v>0</v>
      </c>
    </row>
    <row r="124">
      <c r="A124" s="2" t="s">
        <v>217</v>
      </c>
      <c r="B124" s="2" t="s">
        <v>106</v>
      </c>
      <c r="C124" s="2" t="s">
        <v>24</v>
      </c>
      <c r="D124" s="2" t="s">
        <v>67</v>
      </c>
      <c r="E124" s="2">
        <v>30.0</v>
      </c>
      <c r="F124" s="3">
        <v>45665.0</v>
      </c>
      <c r="G124" s="3">
        <v>45825.0</v>
      </c>
      <c r="H124" s="11">
        <v>1.4857881E7</v>
      </c>
      <c r="I124" s="2">
        <v>1.5769185E7</v>
      </c>
      <c r="J124" s="2" t="s">
        <v>20</v>
      </c>
      <c r="K124" s="2" t="s">
        <v>42</v>
      </c>
      <c r="L124" s="2">
        <v>45.0</v>
      </c>
      <c r="M124" s="2">
        <v>160.0</v>
      </c>
      <c r="N124" s="11">
        <v>495263.0</v>
      </c>
      <c r="O124" s="4">
        <v>45658.0</v>
      </c>
      <c r="P124" s="2" t="b">
        <v>1</v>
      </c>
    </row>
    <row r="125">
      <c r="A125" s="2" t="s">
        <v>218</v>
      </c>
      <c r="B125" s="2" t="s">
        <v>99</v>
      </c>
      <c r="C125" s="2" t="s">
        <v>57</v>
      </c>
      <c r="D125" s="2" t="s">
        <v>19</v>
      </c>
      <c r="E125" s="2">
        <v>61.0</v>
      </c>
      <c r="F125" s="3">
        <v>45380.0</v>
      </c>
      <c r="G125" s="3">
        <v>45519.0</v>
      </c>
      <c r="H125" s="11">
        <v>1.8132242E7</v>
      </c>
      <c r="I125" s="2">
        <v>1.7883275E7</v>
      </c>
      <c r="J125" s="2" t="s">
        <v>20</v>
      </c>
      <c r="K125" s="2" t="s">
        <v>42</v>
      </c>
      <c r="L125" s="2">
        <v>136.0</v>
      </c>
      <c r="M125" s="2">
        <v>139.0</v>
      </c>
      <c r="N125" s="11">
        <v>297250.0</v>
      </c>
      <c r="O125" s="4">
        <v>45352.0</v>
      </c>
      <c r="P125" s="2" t="b">
        <v>1</v>
      </c>
    </row>
    <row r="126">
      <c r="A126" s="2" t="s">
        <v>219</v>
      </c>
      <c r="B126" s="2" t="s">
        <v>220</v>
      </c>
      <c r="C126" s="2" t="s">
        <v>28</v>
      </c>
      <c r="D126" s="2" t="s">
        <v>49</v>
      </c>
      <c r="E126" s="2">
        <v>78.0</v>
      </c>
      <c r="F126" s="3">
        <v>45621.0</v>
      </c>
      <c r="G126" s="3">
        <v>45770.0</v>
      </c>
      <c r="H126" s="11">
        <v>1.03666297E8</v>
      </c>
      <c r="I126" s="2">
        <v>9.6126313E7</v>
      </c>
      <c r="J126" s="2" t="s">
        <v>20</v>
      </c>
      <c r="K126" s="2" t="s">
        <v>73</v>
      </c>
      <c r="L126" s="2">
        <v>158.0</v>
      </c>
      <c r="M126" s="2">
        <v>149.0</v>
      </c>
      <c r="N126" s="11">
        <v>1329055.0</v>
      </c>
      <c r="O126" s="6">
        <v>45597.0</v>
      </c>
      <c r="P126" s="2" t="b">
        <v>1</v>
      </c>
    </row>
    <row r="127">
      <c r="A127" s="2" t="s">
        <v>221</v>
      </c>
      <c r="B127" s="2" t="s">
        <v>23</v>
      </c>
      <c r="C127" s="2" t="s">
        <v>28</v>
      </c>
      <c r="D127" s="2" t="s">
        <v>72</v>
      </c>
      <c r="E127" s="2">
        <v>257.0</v>
      </c>
      <c r="F127" s="3">
        <v>45709.0</v>
      </c>
      <c r="G127" s="3">
        <v>45807.0</v>
      </c>
      <c r="H127" s="11">
        <v>3.53100117E8</v>
      </c>
      <c r="I127" s="2">
        <v>3.52952398E8</v>
      </c>
      <c r="J127" s="2" t="s">
        <v>20</v>
      </c>
      <c r="K127" s="2" t="s">
        <v>73</v>
      </c>
      <c r="L127" s="2">
        <v>49.0</v>
      </c>
      <c r="M127" s="2">
        <v>98.0</v>
      </c>
      <c r="N127" s="11">
        <v>1373930.0</v>
      </c>
      <c r="O127" s="4">
        <v>45689.0</v>
      </c>
      <c r="P127" s="2" t="b">
        <v>1</v>
      </c>
    </row>
    <row r="128">
      <c r="A128" s="2" t="s">
        <v>222</v>
      </c>
      <c r="B128" s="2" t="s">
        <v>183</v>
      </c>
      <c r="C128" s="2" t="s">
        <v>28</v>
      </c>
      <c r="D128" s="2" t="s">
        <v>58</v>
      </c>
      <c r="E128" s="2">
        <v>230.0</v>
      </c>
      <c r="F128" s="3">
        <v>45499.0</v>
      </c>
      <c r="G128" s="2" t="s">
        <v>414</v>
      </c>
      <c r="H128" s="11">
        <v>1.88992434E8</v>
      </c>
      <c r="I128" s="2" t="s">
        <v>414</v>
      </c>
      <c r="J128" s="2" t="s">
        <v>69</v>
      </c>
      <c r="K128" s="2" t="s">
        <v>21</v>
      </c>
      <c r="L128" s="2">
        <v>116.0</v>
      </c>
      <c r="N128" s="11">
        <v>821706.0</v>
      </c>
      <c r="O128" s="4">
        <v>45474.0</v>
      </c>
      <c r="P128" s="2" t="b">
        <v>0</v>
      </c>
    </row>
    <row r="129">
      <c r="A129" s="2" t="s">
        <v>223</v>
      </c>
      <c r="B129" s="2" t="s">
        <v>208</v>
      </c>
      <c r="C129" s="2" t="s">
        <v>28</v>
      </c>
      <c r="D129" s="2" t="s">
        <v>33</v>
      </c>
      <c r="E129" s="2">
        <v>85.0</v>
      </c>
      <c r="F129" s="3">
        <v>45514.0</v>
      </c>
      <c r="G129" s="3">
        <v>45692.0</v>
      </c>
      <c r="H129" s="11">
        <v>7.3483855E7</v>
      </c>
      <c r="I129" s="2">
        <v>6.8959287E7</v>
      </c>
      <c r="J129" s="2" t="s">
        <v>20</v>
      </c>
      <c r="K129" s="2" t="s">
        <v>21</v>
      </c>
      <c r="L129" s="2">
        <v>88.0</v>
      </c>
      <c r="M129" s="2">
        <v>178.0</v>
      </c>
      <c r="N129" s="11">
        <v>864516.0</v>
      </c>
      <c r="O129" s="4">
        <v>45505.0</v>
      </c>
      <c r="P129" s="2" t="b">
        <v>1</v>
      </c>
    </row>
    <row r="130">
      <c r="A130" s="2" t="s">
        <v>224</v>
      </c>
      <c r="B130" s="2" t="s">
        <v>54</v>
      </c>
      <c r="C130" s="2" t="s">
        <v>28</v>
      </c>
      <c r="D130" s="2" t="s">
        <v>29</v>
      </c>
      <c r="E130" s="2">
        <v>4169.0</v>
      </c>
      <c r="F130" s="3">
        <v>45374.0</v>
      </c>
      <c r="G130" s="2" t="s">
        <v>414</v>
      </c>
      <c r="H130" s="11">
        <v>1.633345447E9</v>
      </c>
      <c r="I130" s="2" t="s">
        <v>414</v>
      </c>
      <c r="J130" s="2" t="s">
        <v>41</v>
      </c>
      <c r="K130" s="2" t="s">
        <v>73</v>
      </c>
      <c r="L130" s="2">
        <v>139.0</v>
      </c>
      <c r="N130" s="11">
        <v>391784.0</v>
      </c>
      <c r="O130" s="4">
        <v>45352.0</v>
      </c>
      <c r="P130" s="2" t="b">
        <v>0</v>
      </c>
    </row>
    <row r="131">
      <c r="A131" s="2" t="s">
        <v>225</v>
      </c>
      <c r="B131" s="2" t="s">
        <v>111</v>
      </c>
      <c r="C131" s="2" t="s">
        <v>28</v>
      </c>
      <c r="D131" s="2" t="s">
        <v>37</v>
      </c>
      <c r="E131" s="2">
        <v>473.0</v>
      </c>
      <c r="F131" s="3">
        <v>45724.0</v>
      </c>
      <c r="G131" s="3">
        <v>45869.0</v>
      </c>
      <c r="H131" s="11">
        <v>9.7587092E8</v>
      </c>
      <c r="I131" s="2">
        <v>9.80649536E8</v>
      </c>
      <c r="J131" s="2" t="s">
        <v>20</v>
      </c>
      <c r="K131" s="2" t="s">
        <v>42</v>
      </c>
      <c r="L131" s="2">
        <v>94.0</v>
      </c>
      <c r="M131" s="2">
        <v>145.0</v>
      </c>
      <c r="N131" s="11">
        <v>2063152.0</v>
      </c>
      <c r="O131" s="4">
        <v>45717.0</v>
      </c>
      <c r="P131" s="2" t="b">
        <v>1</v>
      </c>
    </row>
    <row r="132">
      <c r="A132" s="2" t="s">
        <v>226</v>
      </c>
      <c r="B132" s="2" t="s">
        <v>227</v>
      </c>
      <c r="C132" s="2" t="s">
        <v>24</v>
      </c>
      <c r="D132" s="2" t="s">
        <v>102</v>
      </c>
      <c r="E132" s="2">
        <v>130.0</v>
      </c>
      <c r="F132" s="3">
        <v>45189.0</v>
      </c>
      <c r="G132" s="3">
        <v>45358.0</v>
      </c>
      <c r="H132" s="11">
        <v>9.6239998E7</v>
      </c>
      <c r="I132" s="2">
        <v>1.00230529E8</v>
      </c>
      <c r="J132" s="2" t="s">
        <v>20</v>
      </c>
      <c r="K132" s="2" t="s">
        <v>21</v>
      </c>
      <c r="L132" s="2">
        <v>50.0</v>
      </c>
      <c r="M132" s="2">
        <v>169.0</v>
      </c>
      <c r="N132" s="11">
        <v>740308.0</v>
      </c>
      <c r="O132" s="4">
        <v>45170.0</v>
      </c>
      <c r="P132" s="2" t="b">
        <v>1</v>
      </c>
    </row>
    <row r="133">
      <c r="A133" s="2" t="s">
        <v>228</v>
      </c>
      <c r="B133" s="2" t="s">
        <v>109</v>
      </c>
      <c r="C133" s="2" t="s">
        <v>101</v>
      </c>
      <c r="D133" s="2" t="s">
        <v>81</v>
      </c>
      <c r="E133" s="2">
        <v>4200.0</v>
      </c>
      <c r="F133" s="3">
        <v>45386.0</v>
      </c>
      <c r="G133" s="2" t="s">
        <v>414</v>
      </c>
      <c r="H133" s="11">
        <v>7.53336656E8</v>
      </c>
      <c r="I133" s="2" t="s">
        <v>414</v>
      </c>
      <c r="J133" s="2" t="s">
        <v>34</v>
      </c>
      <c r="K133" s="2" t="s">
        <v>25</v>
      </c>
      <c r="L133" s="2">
        <v>87.0</v>
      </c>
      <c r="N133" s="11">
        <v>179366.0</v>
      </c>
      <c r="O133" s="4">
        <v>45383.0</v>
      </c>
      <c r="P133" s="2" t="b">
        <v>0</v>
      </c>
    </row>
    <row r="134">
      <c r="A134" s="2" t="s">
        <v>229</v>
      </c>
      <c r="B134" s="2" t="s">
        <v>129</v>
      </c>
      <c r="C134" s="2" t="s">
        <v>40</v>
      </c>
      <c r="D134" s="2" t="s">
        <v>67</v>
      </c>
      <c r="E134" s="2">
        <v>29.0</v>
      </c>
      <c r="F134" s="3">
        <v>45407.0</v>
      </c>
      <c r="G134" s="3">
        <v>45499.0</v>
      </c>
      <c r="H134" s="11">
        <v>5930299.0</v>
      </c>
      <c r="I134" s="2">
        <v>6017042.0</v>
      </c>
      <c r="J134" s="2" t="s">
        <v>20</v>
      </c>
      <c r="K134" s="2" t="s">
        <v>30</v>
      </c>
      <c r="L134" s="2">
        <v>134.0</v>
      </c>
      <c r="M134" s="2">
        <v>92.0</v>
      </c>
      <c r="N134" s="11">
        <v>204493.0</v>
      </c>
      <c r="O134" s="4">
        <v>45383.0</v>
      </c>
      <c r="P134" s="2" t="b">
        <v>1</v>
      </c>
    </row>
    <row r="135">
      <c r="A135" s="2" t="s">
        <v>230</v>
      </c>
      <c r="B135" s="2" t="s">
        <v>117</v>
      </c>
      <c r="C135" s="2" t="s">
        <v>28</v>
      </c>
      <c r="D135" s="2" t="s">
        <v>81</v>
      </c>
      <c r="E135" s="2">
        <v>4102.0</v>
      </c>
      <c r="F135" s="3">
        <v>45304.0</v>
      </c>
      <c r="G135" s="2" t="s">
        <v>414</v>
      </c>
      <c r="H135" s="11">
        <v>2.317679059E9</v>
      </c>
      <c r="I135" s="2" t="s">
        <v>414</v>
      </c>
      <c r="J135" s="2" t="s">
        <v>41</v>
      </c>
      <c r="K135" s="2" t="s">
        <v>21</v>
      </c>
      <c r="L135" s="2">
        <v>162.0</v>
      </c>
      <c r="N135" s="11">
        <v>565012.0</v>
      </c>
      <c r="O135" s="4">
        <v>45292.0</v>
      </c>
      <c r="P135" s="2" t="b">
        <v>0</v>
      </c>
    </row>
    <row r="136">
      <c r="A136" s="2" t="s">
        <v>231</v>
      </c>
      <c r="B136" s="2" t="s">
        <v>109</v>
      </c>
      <c r="C136" s="2" t="s">
        <v>64</v>
      </c>
      <c r="D136" s="2" t="s">
        <v>49</v>
      </c>
      <c r="E136" s="2">
        <v>168.0</v>
      </c>
      <c r="F136" s="3">
        <v>45904.0</v>
      </c>
      <c r="G136" s="2" t="s">
        <v>414</v>
      </c>
      <c r="H136" s="11">
        <v>1.09003926E8</v>
      </c>
      <c r="I136" s="2" t="s">
        <v>414</v>
      </c>
      <c r="J136" s="2" t="s">
        <v>41</v>
      </c>
      <c r="K136" s="2" t="s">
        <v>25</v>
      </c>
      <c r="L136" s="2">
        <v>171.0</v>
      </c>
      <c r="N136" s="11">
        <v>648833.0</v>
      </c>
      <c r="O136" s="4">
        <v>45901.0</v>
      </c>
      <c r="P136" s="2" t="b">
        <v>0</v>
      </c>
    </row>
    <row r="137">
      <c r="A137" s="2" t="s">
        <v>232</v>
      </c>
      <c r="B137" s="2" t="s">
        <v>84</v>
      </c>
      <c r="C137" s="2" t="s">
        <v>28</v>
      </c>
      <c r="D137" s="2" t="s">
        <v>29</v>
      </c>
      <c r="E137" s="2">
        <v>4296.0</v>
      </c>
      <c r="F137" s="3">
        <v>45907.0</v>
      </c>
      <c r="G137" s="3">
        <v>45948.0</v>
      </c>
      <c r="H137" s="11">
        <v>1.929775753E9</v>
      </c>
      <c r="I137" s="2">
        <v>2.03394572E9</v>
      </c>
      <c r="J137" s="2" t="s">
        <v>20</v>
      </c>
      <c r="K137" s="2" t="s">
        <v>21</v>
      </c>
      <c r="L137" s="2">
        <v>134.0</v>
      </c>
      <c r="M137" s="2">
        <v>41.0</v>
      </c>
      <c r="N137" s="11">
        <v>449203.0</v>
      </c>
      <c r="O137" s="4">
        <v>45901.0</v>
      </c>
      <c r="P137" s="2" t="b">
        <v>1</v>
      </c>
    </row>
    <row r="138">
      <c r="A138" s="2" t="s">
        <v>233</v>
      </c>
      <c r="B138" s="2" t="s">
        <v>153</v>
      </c>
      <c r="C138" s="2" t="s">
        <v>18</v>
      </c>
      <c r="D138" s="2" t="s">
        <v>19</v>
      </c>
      <c r="E138" s="2">
        <v>47.0</v>
      </c>
      <c r="F138" s="3">
        <v>45463.0</v>
      </c>
      <c r="G138" s="3">
        <v>45518.0</v>
      </c>
      <c r="H138" s="11">
        <v>1.1136325E7</v>
      </c>
      <c r="I138" s="2">
        <v>1.1881009E7</v>
      </c>
      <c r="J138" s="2" t="s">
        <v>20</v>
      </c>
      <c r="K138" s="2" t="s">
        <v>73</v>
      </c>
      <c r="L138" s="2">
        <v>109.0</v>
      </c>
      <c r="M138" s="2">
        <v>55.0</v>
      </c>
      <c r="N138" s="11">
        <v>236943.0</v>
      </c>
      <c r="O138" s="4">
        <v>45444.0</v>
      </c>
      <c r="P138" s="2" t="b">
        <v>1</v>
      </c>
    </row>
    <row r="139">
      <c r="A139" s="2" t="s">
        <v>234</v>
      </c>
      <c r="B139" s="2" t="s">
        <v>54</v>
      </c>
      <c r="C139" s="2" t="s">
        <v>57</v>
      </c>
      <c r="D139" s="2" t="s">
        <v>29</v>
      </c>
      <c r="E139" s="2">
        <v>828.0</v>
      </c>
      <c r="F139" s="3">
        <v>45264.0</v>
      </c>
      <c r="G139" s="3">
        <v>45452.0</v>
      </c>
      <c r="H139" s="11">
        <v>1.19783529E8</v>
      </c>
      <c r="I139" s="2">
        <v>1.15030437E8</v>
      </c>
      <c r="J139" s="2" t="s">
        <v>20</v>
      </c>
      <c r="K139" s="2" t="s">
        <v>25</v>
      </c>
      <c r="L139" s="2">
        <v>43.0</v>
      </c>
      <c r="M139" s="2">
        <v>188.0</v>
      </c>
      <c r="N139" s="11">
        <v>144666.0</v>
      </c>
      <c r="O139" s="6">
        <v>45261.0</v>
      </c>
      <c r="P139" s="2" t="b">
        <v>1</v>
      </c>
    </row>
    <row r="140">
      <c r="A140" s="2" t="s">
        <v>235</v>
      </c>
      <c r="B140" s="2" t="s">
        <v>106</v>
      </c>
      <c r="C140" s="2" t="s">
        <v>24</v>
      </c>
      <c r="D140" s="2" t="s">
        <v>29</v>
      </c>
      <c r="E140" s="2">
        <v>1558.0</v>
      </c>
      <c r="F140" s="3">
        <v>45917.0</v>
      </c>
      <c r="G140" s="2" t="s">
        <v>414</v>
      </c>
      <c r="H140" s="11">
        <v>4.58806203E8</v>
      </c>
      <c r="I140" s="2">
        <v>4.65783083E8</v>
      </c>
      <c r="J140" s="2" t="s">
        <v>20</v>
      </c>
      <c r="K140" s="2" t="s">
        <v>21</v>
      </c>
      <c r="L140" s="2">
        <v>84.0</v>
      </c>
      <c r="M140" s="2">
        <v>184.0</v>
      </c>
      <c r="N140" s="11">
        <v>294484.0</v>
      </c>
      <c r="O140" s="4">
        <v>45901.0</v>
      </c>
      <c r="P140" s="2" t="b">
        <v>1</v>
      </c>
    </row>
    <row r="141">
      <c r="A141" s="2" t="s">
        <v>236</v>
      </c>
      <c r="B141" s="2" t="s">
        <v>60</v>
      </c>
      <c r="C141" s="2" t="s">
        <v>64</v>
      </c>
      <c r="D141" s="2" t="s">
        <v>67</v>
      </c>
      <c r="E141" s="2">
        <v>29.0</v>
      </c>
      <c r="F141" s="3">
        <v>45588.0</v>
      </c>
      <c r="G141" s="3">
        <v>45733.0</v>
      </c>
      <c r="H141" s="11">
        <v>9086869.0</v>
      </c>
      <c r="I141" s="2">
        <v>8887099.0</v>
      </c>
      <c r="J141" s="2" t="s">
        <v>20</v>
      </c>
      <c r="K141" s="2" t="s">
        <v>42</v>
      </c>
      <c r="L141" s="2">
        <v>59.0</v>
      </c>
      <c r="M141" s="2">
        <v>145.0</v>
      </c>
      <c r="N141" s="11">
        <v>313340.0</v>
      </c>
      <c r="O141" s="6">
        <v>45566.0</v>
      </c>
      <c r="P141" s="2" t="b">
        <v>1</v>
      </c>
    </row>
    <row r="142">
      <c r="A142" s="2" t="s">
        <v>237</v>
      </c>
      <c r="B142" s="2" t="s">
        <v>23</v>
      </c>
      <c r="C142" s="2" t="s">
        <v>24</v>
      </c>
      <c r="D142" s="2" t="s">
        <v>81</v>
      </c>
      <c r="E142" s="2">
        <v>1972.0</v>
      </c>
      <c r="F142" s="3">
        <v>45085.0</v>
      </c>
      <c r="G142" s="3">
        <v>45125.0</v>
      </c>
      <c r="H142" s="11">
        <v>8.09899601E8</v>
      </c>
      <c r="I142" s="2">
        <v>8.15053252E8</v>
      </c>
      <c r="J142" s="2" t="s">
        <v>20</v>
      </c>
      <c r="K142" s="2" t="s">
        <v>25</v>
      </c>
      <c r="L142" s="2">
        <v>14.0</v>
      </c>
      <c r="M142" s="2">
        <v>40.0</v>
      </c>
      <c r="N142" s="11">
        <v>410700.0</v>
      </c>
      <c r="O142" s="4">
        <v>45078.0</v>
      </c>
      <c r="P142" s="2" t="b">
        <v>1</v>
      </c>
    </row>
    <row r="143">
      <c r="A143" s="2" t="s">
        <v>238</v>
      </c>
      <c r="B143" s="2" t="s">
        <v>208</v>
      </c>
      <c r="C143" s="2" t="s">
        <v>18</v>
      </c>
      <c r="D143" s="2" t="s">
        <v>29</v>
      </c>
      <c r="E143" s="2">
        <v>1473.0</v>
      </c>
      <c r="F143" s="3">
        <v>45084.0</v>
      </c>
      <c r="G143" s="3">
        <v>45276.0</v>
      </c>
      <c r="H143" s="11">
        <v>2.15003984E8</v>
      </c>
      <c r="I143" s="2">
        <v>2.25635284E8</v>
      </c>
      <c r="J143" s="2" t="s">
        <v>20</v>
      </c>
      <c r="K143" s="2" t="s">
        <v>42</v>
      </c>
      <c r="L143" s="2">
        <v>117.0</v>
      </c>
      <c r="M143" s="2">
        <v>192.0</v>
      </c>
      <c r="N143" s="11">
        <v>145963.0</v>
      </c>
      <c r="O143" s="4">
        <v>45078.0</v>
      </c>
      <c r="P143" s="2" t="b">
        <v>1</v>
      </c>
    </row>
    <row r="144">
      <c r="A144" s="2" t="s">
        <v>239</v>
      </c>
      <c r="B144" s="2" t="s">
        <v>145</v>
      </c>
      <c r="C144" s="2" t="s">
        <v>28</v>
      </c>
      <c r="D144" s="2" t="s">
        <v>67</v>
      </c>
      <c r="E144" s="2">
        <v>32.0</v>
      </c>
      <c r="F144" s="3">
        <v>45218.0</v>
      </c>
      <c r="G144" s="2" t="s">
        <v>414</v>
      </c>
      <c r="H144" s="11">
        <v>1.7966166E7</v>
      </c>
      <c r="I144" s="2" t="s">
        <v>414</v>
      </c>
      <c r="J144" s="2" t="s">
        <v>69</v>
      </c>
      <c r="K144" s="2" t="s">
        <v>42</v>
      </c>
      <c r="L144" s="2">
        <v>84.0</v>
      </c>
      <c r="N144" s="11">
        <v>561443.0</v>
      </c>
      <c r="O144" s="6">
        <v>45200.0</v>
      </c>
      <c r="P144" s="2" t="b">
        <v>0</v>
      </c>
    </row>
    <row r="145">
      <c r="A145" s="2" t="s">
        <v>240</v>
      </c>
      <c r="B145" s="2" t="s">
        <v>142</v>
      </c>
      <c r="C145" s="2" t="s">
        <v>101</v>
      </c>
      <c r="D145" s="2" t="s">
        <v>81</v>
      </c>
      <c r="E145" s="2">
        <v>1989.0</v>
      </c>
      <c r="F145" s="3">
        <v>45896.0</v>
      </c>
      <c r="G145" s="2" t="s">
        <v>414</v>
      </c>
      <c r="H145" s="11">
        <v>3.33389939E8</v>
      </c>
      <c r="I145" s="2">
        <v>3.21749121E8</v>
      </c>
      <c r="J145" s="2" t="s">
        <v>20</v>
      </c>
      <c r="K145" s="2" t="s">
        <v>73</v>
      </c>
      <c r="L145" s="2">
        <v>133.0</v>
      </c>
      <c r="M145" s="2">
        <v>127.0</v>
      </c>
      <c r="N145" s="11">
        <v>167617.0</v>
      </c>
      <c r="O145" s="4">
        <v>45870.0</v>
      </c>
      <c r="P145" s="2" t="b">
        <v>1</v>
      </c>
    </row>
    <row r="146">
      <c r="A146" s="2" t="s">
        <v>241</v>
      </c>
      <c r="B146" s="2" t="s">
        <v>135</v>
      </c>
      <c r="C146" s="2" t="s">
        <v>64</v>
      </c>
      <c r="D146" s="2" t="s">
        <v>102</v>
      </c>
      <c r="E146" s="2">
        <v>125.0</v>
      </c>
      <c r="F146" s="3">
        <v>45820.0</v>
      </c>
      <c r="G146" s="3">
        <v>45999.0</v>
      </c>
      <c r="H146" s="11">
        <v>7.3282237E7</v>
      </c>
      <c r="I146" s="2">
        <v>7.1772178E7</v>
      </c>
      <c r="J146" s="2" t="s">
        <v>20</v>
      </c>
      <c r="K146" s="2" t="s">
        <v>21</v>
      </c>
      <c r="L146" s="2">
        <v>137.0</v>
      </c>
      <c r="M146" s="2">
        <v>179.0</v>
      </c>
      <c r="N146" s="11">
        <v>586258.0</v>
      </c>
      <c r="O146" s="4">
        <v>45809.0</v>
      </c>
      <c r="P146" s="2" t="b">
        <v>1</v>
      </c>
    </row>
    <row r="147">
      <c r="A147" s="2" t="s">
        <v>242</v>
      </c>
      <c r="B147" s="2" t="s">
        <v>160</v>
      </c>
      <c r="C147" s="2" t="s">
        <v>40</v>
      </c>
      <c r="D147" s="2" t="s">
        <v>37</v>
      </c>
      <c r="E147" s="2">
        <v>342.0</v>
      </c>
      <c r="F147" s="3">
        <v>45387.0</v>
      </c>
      <c r="G147" s="2" t="s">
        <v>414</v>
      </c>
      <c r="H147" s="11">
        <v>2.22412955E8</v>
      </c>
      <c r="I147" s="2" t="s">
        <v>414</v>
      </c>
      <c r="J147" s="2" t="s">
        <v>41</v>
      </c>
      <c r="K147" s="2" t="s">
        <v>21</v>
      </c>
      <c r="L147" s="2">
        <v>61.0</v>
      </c>
      <c r="N147" s="11">
        <v>650330.0</v>
      </c>
      <c r="O147" s="4">
        <v>45383.0</v>
      </c>
      <c r="P147" s="2" t="b">
        <v>0</v>
      </c>
    </row>
    <row r="148">
      <c r="A148" s="2" t="s">
        <v>243</v>
      </c>
      <c r="B148" s="2" t="s">
        <v>80</v>
      </c>
      <c r="C148" s="2" t="s">
        <v>57</v>
      </c>
      <c r="D148" s="2" t="s">
        <v>67</v>
      </c>
      <c r="E148" s="2">
        <v>25.0</v>
      </c>
      <c r="F148" s="3">
        <v>45332.0</v>
      </c>
      <c r="G148" s="3">
        <v>45407.0</v>
      </c>
      <c r="H148" s="11">
        <v>5625012.0</v>
      </c>
      <c r="I148" s="2">
        <v>5248456.0</v>
      </c>
      <c r="J148" s="2" t="s">
        <v>20</v>
      </c>
      <c r="K148" s="2" t="s">
        <v>42</v>
      </c>
      <c r="L148" s="2">
        <v>12.0</v>
      </c>
      <c r="M148" s="2">
        <v>75.0</v>
      </c>
      <c r="N148" s="11">
        <v>225000.0</v>
      </c>
      <c r="O148" s="4">
        <v>45323.0</v>
      </c>
      <c r="P148" s="2" t="b">
        <v>1</v>
      </c>
    </row>
    <row r="149">
      <c r="A149" s="2" t="s">
        <v>244</v>
      </c>
      <c r="B149" s="2" t="s">
        <v>88</v>
      </c>
      <c r="C149" s="2" t="s">
        <v>24</v>
      </c>
      <c r="D149" s="2" t="s">
        <v>33</v>
      </c>
      <c r="E149" s="2">
        <v>110.0</v>
      </c>
      <c r="F149" s="3">
        <v>45067.0</v>
      </c>
      <c r="G149" s="3">
        <v>45202.0</v>
      </c>
      <c r="H149" s="11">
        <v>8.0682658E7</v>
      </c>
      <c r="I149" s="2">
        <v>7.6019751E7</v>
      </c>
      <c r="J149" s="2" t="s">
        <v>20</v>
      </c>
      <c r="K149" s="2" t="s">
        <v>73</v>
      </c>
      <c r="L149" s="2">
        <v>119.0</v>
      </c>
      <c r="M149" s="2">
        <v>135.0</v>
      </c>
      <c r="N149" s="11">
        <v>733479.0</v>
      </c>
      <c r="O149" s="4">
        <v>45047.0</v>
      </c>
      <c r="P149" s="2" t="b">
        <v>1</v>
      </c>
    </row>
    <row r="150">
      <c r="A150" s="2" t="s">
        <v>245</v>
      </c>
      <c r="B150" s="2" t="s">
        <v>17</v>
      </c>
      <c r="C150" s="2" t="s">
        <v>64</v>
      </c>
      <c r="D150" s="2" t="s">
        <v>33</v>
      </c>
      <c r="E150" s="2">
        <v>66.0</v>
      </c>
      <c r="F150" s="3">
        <v>45782.0</v>
      </c>
      <c r="G150" s="3">
        <v>45983.0</v>
      </c>
      <c r="H150" s="11">
        <v>3.2478495E7</v>
      </c>
      <c r="I150" s="2">
        <v>3.2079683E7</v>
      </c>
      <c r="J150" s="2" t="s">
        <v>20</v>
      </c>
      <c r="K150" s="2" t="s">
        <v>30</v>
      </c>
      <c r="L150" s="2">
        <v>65.0</v>
      </c>
      <c r="M150" s="2">
        <v>201.0</v>
      </c>
      <c r="N150" s="11">
        <v>492098.0</v>
      </c>
      <c r="O150" s="4">
        <v>45778.0</v>
      </c>
      <c r="P150" s="2" t="b">
        <v>1</v>
      </c>
    </row>
    <row r="151">
      <c r="A151" s="2" t="s">
        <v>246</v>
      </c>
      <c r="B151" s="2" t="s">
        <v>113</v>
      </c>
      <c r="C151" s="2" t="s">
        <v>24</v>
      </c>
      <c r="D151" s="2" t="s">
        <v>19</v>
      </c>
      <c r="E151" s="2">
        <v>47.0</v>
      </c>
      <c r="F151" s="3">
        <v>45739.0</v>
      </c>
      <c r="G151" s="3">
        <v>45770.0</v>
      </c>
      <c r="H151" s="11">
        <v>2.3223855E7</v>
      </c>
      <c r="I151" s="2">
        <v>2.4729306E7</v>
      </c>
      <c r="J151" s="2" t="s">
        <v>20</v>
      </c>
      <c r="K151" s="2" t="s">
        <v>25</v>
      </c>
      <c r="L151" s="2">
        <v>142.0</v>
      </c>
      <c r="M151" s="2">
        <v>31.0</v>
      </c>
      <c r="N151" s="11">
        <v>494125.0</v>
      </c>
      <c r="O151" s="4">
        <v>45717.0</v>
      </c>
      <c r="P151" s="2" t="b">
        <v>1</v>
      </c>
    </row>
    <row r="152">
      <c r="A152" s="2" t="s">
        <v>247</v>
      </c>
      <c r="B152" s="2" t="s">
        <v>163</v>
      </c>
      <c r="C152" s="2" t="s">
        <v>28</v>
      </c>
      <c r="D152" s="2" t="s">
        <v>58</v>
      </c>
      <c r="E152" s="2">
        <v>197.0</v>
      </c>
      <c r="F152" s="3">
        <v>45074.0</v>
      </c>
      <c r="G152" s="3">
        <v>45089.0</v>
      </c>
      <c r="H152" s="11">
        <v>2.0186369E8</v>
      </c>
      <c r="I152" s="2">
        <v>1.93484384E8</v>
      </c>
      <c r="J152" s="2" t="s">
        <v>20</v>
      </c>
      <c r="K152" s="2" t="s">
        <v>73</v>
      </c>
      <c r="L152" s="2">
        <v>52.0</v>
      </c>
      <c r="M152" s="2">
        <v>15.0</v>
      </c>
      <c r="N152" s="11">
        <v>1024689.0</v>
      </c>
      <c r="O152" s="4">
        <v>45047.0</v>
      </c>
      <c r="P152" s="2" t="b">
        <v>1</v>
      </c>
    </row>
    <row r="153">
      <c r="A153" s="2" t="s">
        <v>248</v>
      </c>
      <c r="B153" s="2" t="s">
        <v>54</v>
      </c>
      <c r="C153" s="2" t="s">
        <v>18</v>
      </c>
      <c r="D153" s="2" t="s">
        <v>33</v>
      </c>
      <c r="E153" s="2">
        <v>98.0</v>
      </c>
      <c r="F153" s="3">
        <v>45903.0</v>
      </c>
      <c r="G153" s="2" t="s">
        <v>414</v>
      </c>
      <c r="H153" s="11">
        <v>3.1955661E7</v>
      </c>
      <c r="I153" s="2">
        <v>3.1994634E7</v>
      </c>
      <c r="J153" s="2" t="s">
        <v>20</v>
      </c>
      <c r="K153" s="2" t="s">
        <v>21</v>
      </c>
      <c r="L153" s="2">
        <v>104.0</v>
      </c>
      <c r="M153" s="2">
        <v>144.0</v>
      </c>
      <c r="N153" s="11">
        <v>326078.0</v>
      </c>
      <c r="O153" s="4">
        <v>45901.0</v>
      </c>
      <c r="P153" s="2" t="b">
        <v>1</v>
      </c>
    </row>
    <row r="154">
      <c r="A154" s="2" t="s">
        <v>249</v>
      </c>
      <c r="B154" s="2" t="s">
        <v>75</v>
      </c>
      <c r="C154" s="2" t="s">
        <v>40</v>
      </c>
      <c r="D154" s="2" t="s">
        <v>19</v>
      </c>
      <c r="E154" s="2">
        <v>60.0</v>
      </c>
      <c r="F154" s="3">
        <v>45186.0</v>
      </c>
      <c r="G154" s="2" t="s">
        <v>414</v>
      </c>
      <c r="H154" s="11">
        <v>1.4858952E7</v>
      </c>
      <c r="I154" s="2" t="s">
        <v>414</v>
      </c>
      <c r="J154" s="2" t="s">
        <v>69</v>
      </c>
      <c r="K154" s="2" t="s">
        <v>30</v>
      </c>
      <c r="L154" s="2">
        <v>66.0</v>
      </c>
      <c r="N154" s="11">
        <v>247649.0</v>
      </c>
      <c r="O154" s="4">
        <v>45170.0</v>
      </c>
      <c r="P154" s="2" t="b">
        <v>0</v>
      </c>
    </row>
    <row r="155">
      <c r="A155" s="2" t="s">
        <v>250</v>
      </c>
      <c r="B155" s="2" t="s">
        <v>88</v>
      </c>
      <c r="C155" s="2" t="s">
        <v>57</v>
      </c>
      <c r="D155" s="2" t="s">
        <v>33</v>
      </c>
      <c r="E155" s="2">
        <v>102.0</v>
      </c>
      <c r="F155" s="3">
        <v>44972.0</v>
      </c>
      <c r="G155" s="3">
        <v>45073.0</v>
      </c>
      <c r="H155" s="11">
        <v>3.8365171E7</v>
      </c>
      <c r="I155" s="2">
        <v>3.6370729E7</v>
      </c>
      <c r="J155" s="2" t="s">
        <v>20</v>
      </c>
      <c r="K155" s="2" t="s">
        <v>73</v>
      </c>
      <c r="L155" s="2">
        <v>127.0</v>
      </c>
      <c r="M155" s="2">
        <v>101.0</v>
      </c>
      <c r="N155" s="11">
        <v>376129.0</v>
      </c>
      <c r="O155" s="4">
        <v>44958.0</v>
      </c>
      <c r="P155" s="2" t="b">
        <v>1</v>
      </c>
    </row>
    <row r="156">
      <c r="A156" s="2" t="s">
        <v>251</v>
      </c>
      <c r="B156" s="2" t="s">
        <v>129</v>
      </c>
      <c r="C156" s="2" t="s">
        <v>18</v>
      </c>
      <c r="D156" s="2" t="s">
        <v>102</v>
      </c>
      <c r="E156" s="2">
        <v>108.0</v>
      </c>
      <c r="F156" s="3">
        <v>45227.0</v>
      </c>
      <c r="G156" s="3">
        <v>45293.0</v>
      </c>
      <c r="H156" s="11">
        <v>4.552315E7</v>
      </c>
      <c r="I156" s="2">
        <v>4.4180004E7</v>
      </c>
      <c r="J156" s="2" t="s">
        <v>20</v>
      </c>
      <c r="K156" s="2" t="s">
        <v>30</v>
      </c>
      <c r="L156" s="2">
        <v>136.0</v>
      </c>
      <c r="M156" s="2">
        <v>66.0</v>
      </c>
      <c r="N156" s="11">
        <v>421511.0</v>
      </c>
      <c r="O156" s="6">
        <v>45200.0</v>
      </c>
      <c r="P156" s="2" t="b">
        <v>1</v>
      </c>
    </row>
    <row r="157">
      <c r="A157" s="2" t="s">
        <v>252</v>
      </c>
      <c r="B157" s="2" t="s">
        <v>92</v>
      </c>
      <c r="C157" s="2" t="s">
        <v>24</v>
      </c>
      <c r="D157" s="2" t="s">
        <v>58</v>
      </c>
      <c r="E157" s="2">
        <v>171.0</v>
      </c>
      <c r="F157" s="3">
        <v>45698.0</v>
      </c>
      <c r="G157" s="3">
        <v>45786.0</v>
      </c>
      <c r="H157" s="11">
        <v>1.21383429E8</v>
      </c>
      <c r="I157" s="2">
        <v>1.2683775E8</v>
      </c>
      <c r="J157" s="2" t="s">
        <v>20</v>
      </c>
      <c r="K157" s="2" t="s">
        <v>30</v>
      </c>
      <c r="L157" s="2">
        <v>74.0</v>
      </c>
      <c r="M157" s="2">
        <v>88.0</v>
      </c>
      <c r="N157" s="11">
        <v>709845.0</v>
      </c>
      <c r="O157" s="4">
        <v>45689.0</v>
      </c>
      <c r="P157" s="2" t="b">
        <v>1</v>
      </c>
    </row>
    <row r="158">
      <c r="A158" s="2" t="s">
        <v>253</v>
      </c>
      <c r="B158" s="2" t="s">
        <v>113</v>
      </c>
      <c r="C158" s="2" t="s">
        <v>28</v>
      </c>
      <c r="D158" s="2" t="s">
        <v>67</v>
      </c>
      <c r="E158" s="2">
        <v>38.0</v>
      </c>
      <c r="F158" s="3">
        <v>45377.0</v>
      </c>
      <c r="G158" s="2" t="s">
        <v>414</v>
      </c>
      <c r="H158" s="11">
        <v>2.2284747E7</v>
      </c>
      <c r="I158" s="2" t="s">
        <v>414</v>
      </c>
      <c r="J158" s="2" t="s">
        <v>69</v>
      </c>
      <c r="K158" s="2" t="s">
        <v>42</v>
      </c>
      <c r="L158" s="2">
        <v>132.0</v>
      </c>
      <c r="N158" s="11">
        <v>586441.0</v>
      </c>
      <c r="O158" s="4">
        <v>45352.0</v>
      </c>
      <c r="P158" s="2" t="b">
        <v>0</v>
      </c>
    </row>
    <row r="159">
      <c r="A159" s="2" t="s">
        <v>254</v>
      </c>
      <c r="B159" s="2" t="s">
        <v>92</v>
      </c>
      <c r="C159" s="2" t="s">
        <v>18</v>
      </c>
      <c r="D159" s="2" t="s">
        <v>67</v>
      </c>
      <c r="E159" s="2">
        <v>41.0</v>
      </c>
      <c r="F159" s="3">
        <v>45671.0</v>
      </c>
      <c r="G159" s="3">
        <v>45796.0</v>
      </c>
      <c r="H159" s="11">
        <v>8767125.0</v>
      </c>
      <c r="I159" s="2">
        <v>9219286.0</v>
      </c>
      <c r="J159" s="2" t="s">
        <v>20</v>
      </c>
      <c r="K159" s="2" t="s">
        <v>25</v>
      </c>
      <c r="L159" s="2">
        <v>80.0</v>
      </c>
      <c r="M159" s="2">
        <v>125.0</v>
      </c>
      <c r="N159" s="11">
        <v>213832.0</v>
      </c>
      <c r="O159" s="4">
        <v>45658.0</v>
      </c>
      <c r="P159" s="2" t="b">
        <v>1</v>
      </c>
    </row>
    <row r="160">
      <c r="A160" s="2" t="s">
        <v>255</v>
      </c>
      <c r="B160" s="2" t="s">
        <v>256</v>
      </c>
      <c r="C160" s="2" t="s">
        <v>24</v>
      </c>
      <c r="D160" s="2" t="s">
        <v>33</v>
      </c>
      <c r="E160" s="2">
        <v>85.0</v>
      </c>
      <c r="F160" s="3">
        <v>45383.0</v>
      </c>
      <c r="G160" s="3">
        <v>45507.0</v>
      </c>
      <c r="H160" s="11">
        <v>5.0645349E7</v>
      </c>
      <c r="I160" s="2">
        <v>5.0190824E7</v>
      </c>
      <c r="J160" s="2" t="s">
        <v>20</v>
      </c>
      <c r="K160" s="2" t="s">
        <v>73</v>
      </c>
      <c r="L160" s="2">
        <v>15.0</v>
      </c>
      <c r="M160" s="2">
        <v>124.0</v>
      </c>
      <c r="N160" s="11">
        <v>595828.0</v>
      </c>
      <c r="O160" s="4">
        <v>45383.0</v>
      </c>
      <c r="P160" s="2" t="b">
        <v>1</v>
      </c>
    </row>
    <row r="161">
      <c r="A161" s="2" t="s">
        <v>257</v>
      </c>
      <c r="B161" s="2" t="s">
        <v>75</v>
      </c>
      <c r="C161" s="2" t="s">
        <v>18</v>
      </c>
      <c r="D161" s="2" t="s">
        <v>67</v>
      </c>
      <c r="E161" s="2">
        <v>44.0</v>
      </c>
      <c r="F161" s="3">
        <v>45581.0</v>
      </c>
      <c r="G161" s="2" t="s">
        <v>414</v>
      </c>
      <c r="H161" s="11">
        <v>7589262.0</v>
      </c>
      <c r="I161" s="2" t="s">
        <v>414</v>
      </c>
      <c r="J161" s="2" t="s">
        <v>41</v>
      </c>
      <c r="K161" s="2" t="s">
        <v>73</v>
      </c>
      <c r="L161" s="2">
        <v>98.0</v>
      </c>
      <c r="N161" s="11">
        <v>172483.0</v>
      </c>
      <c r="O161" s="6">
        <v>45566.0</v>
      </c>
      <c r="P161" s="2" t="b">
        <v>0</v>
      </c>
    </row>
    <row r="162">
      <c r="A162" s="2" t="s">
        <v>258</v>
      </c>
      <c r="B162" s="2" t="s">
        <v>44</v>
      </c>
      <c r="C162" s="2" t="s">
        <v>64</v>
      </c>
      <c r="D162" s="2" t="s">
        <v>102</v>
      </c>
      <c r="E162" s="2">
        <v>103.0</v>
      </c>
      <c r="F162" s="3">
        <v>45621.0</v>
      </c>
      <c r="G162" s="2" t="s">
        <v>414</v>
      </c>
      <c r="H162" s="11">
        <v>5.2172255E7</v>
      </c>
      <c r="I162" s="2" t="s">
        <v>414</v>
      </c>
      <c r="J162" s="2" t="s">
        <v>41</v>
      </c>
      <c r="K162" s="2" t="s">
        <v>42</v>
      </c>
      <c r="L162" s="2">
        <v>170.0</v>
      </c>
      <c r="N162" s="11">
        <v>506527.0</v>
      </c>
      <c r="O162" s="6">
        <v>45597.0</v>
      </c>
      <c r="P162" s="2" t="b">
        <v>0</v>
      </c>
    </row>
    <row r="163">
      <c r="A163" s="2" t="s">
        <v>259</v>
      </c>
      <c r="B163" s="2" t="s">
        <v>204</v>
      </c>
      <c r="C163" s="2" t="s">
        <v>24</v>
      </c>
      <c r="D163" s="2" t="s">
        <v>49</v>
      </c>
      <c r="E163" s="2">
        <v>293.0</v>
      </c>
      <c r="F163" s="3">
        <v>45546.0</v>
      </c>
      <c r="G163" s="3">
        <v>45676.0</v>
      </c>
      <c r="H163" s="11">
        <v>3.27829427E8</v>
      </c>
      <c r="I163" s="2">
        <v>3.21116182E8</v>
      </c>
      <c r="J163" s="2" t="s">
        <v>20</v>
      </c>
      <c r="K163" s="2" t="s">
        <v>21</v>
      </c>
      <c r="L163" s="2">
        <v>151.0</v>
      </c>
      <c r="M163" s="2">
        <v>130.0</v>
      </c>
      <c r="N163" s="11">
        <v>1118872.0</v>
      </c>
      <c r="O163" s="4">
        <v>45536.0</v>
      </c>
      <c r="P163" s="2" t="b">
        <v>1</v>
      </c>
    </row>
    <row r="164">
      <c r="A164" s="2" t="s">
        <v>260</v>
      </c>
      <c r="B164" s="2" t="s">
        <v>142</v>
      </c>
      <c r="C164" s="2" t="s">
        <v>28</v>
      </c>
      <c r="D164" s="2" t="s">
        <v>67</v>
      </c>
      <c r="E164" s="2">
        <v>37.0</v>
      </c>
      <c r="F164" s="3">
        <v>45212.0</v>
      </c>
      <c r="G164" s="3">
        <v>45256.0</v>
      </c>
      <c r="H164" s="11">
        <v>1.8940942E7</v>
      </c>
      <c r="I164" s="2">
        <v>1.7989494E7</v>
      </c>
      <c r="J164" s="2" t="s">
        <v>20</v>
      </c>
      <c r="K164" s="2" t="s">
        <v>25</v>
      </c>
      <c r="L164" s="2">
        <v>104.0</v>
      </c>
      <c r="M164" s="2">
        <v>44.0</v>
      </c>
      <c r="N164" s="11">
        <v>511917.0</v>
      </c>
      <c r="O164" s="6">
        <v>45200.0</v>
      </c>
      <c r="P164" s="2" t="b">
        <v>1</v>
      </c>
    </row>
    <row r="165">
      <c r="A165" s="2" t="s">
        <v>261</v>
      </c>
      <c r="B165" s="2" t="s">
        <v>220</v>
      </c>
      <c r="C165" s="2" t="s">
        <v>93</v>
      </c>
      <c r="D165" s="2" t="s">
        <v>33</v>
      </c>
      <c r="E165" s="2">
        <v>81.0</v>
      </c>
      <c r="F165" s="3">
        <v>45383.0</v>
      </c>
      <c r="G165" s="3">
        <v>45554.0</v>
      </c>
      <c r="H165" s="11">
        <v>2.3430807E7</v>
      </c>
      <c r="I165" s="2">
        <v>2.4992156E7</v>
      </c>
      <c r="J165" s="2" t="s">
        <v>20</v>
      </c>
      <c r="K165" s="2" t="s">
        <v>73</v>
      </c>
      <c r="L165" s="2">
        <v>56.0</v>
      </c>
      <c r="M165" s="2">
        <v>171.0</v>
      </c>
      <c r="N165" s="11">
        <v>289269.0</v>
      </c>
      <c r="O165" s="4">
        <v>45383.0</v>
      </c>
      <c r="P165" s="2" t="b">
        <v>1</v>
      </c>
    </row>
    <row r="166">
      <c r="A166" s="2" t="s">
        <v>262</v>
      </c>
      <c r="B166" s="2" t="s">
        <v>71</v>
      </c>
      <c r="C166" s="2" t="s">
        <v>28</v>
      </c>
      <c r="D166" s="2" t="s">
        <v>33</v>
      </c>
      <c r="E166" s="2">
        <v>93.0</v>
      </c>
      <c r="F166" s="3">
        <v>45382.0</v>
      </c>
      <c r="G166" s="2" t="s">
        <v>414</v>
      </c>
      <c r="H166" s="11">
        <v>9.7786786E7</v>
      </c>
      <c r="I166" s="2" t="s">
        <v>414</v>
      </c>
      <c r="J166" s="2" t="s">
        <v>34</v>
      </c>
      <c r="K166" s="2" t="s">
        <v>30</v>
      </c>
      <c r="L166" s="2">
        <v>175.0</v>
      </c>
      <c r="N166" s="11">
        <v>1051471.0</v>
      </c>
      <c r="O166" s="4">
        <v>45352.0</v>
      </c>
      <c r="P166" s="2" t="b">
        <v>0</v>
      </c>
    </row>
    <row r="167">
      <c r="A167" s="2" t="s">
        <v>263</v>
      </c>
      <c r="B167" s="2" t="s">
        <v>201</v>
      </c>
      <c r="C167" s="2" t="s">
        <v>24</v>
      </c>
      <c r="D167" s="2" t="s">
        <v>33</v>
      </c>
      <c r="E167" s="2">
        <v>100.0</v>
      </c>
      <c r="F167" s="3">
        <v>45839.0</v>
      </c>
      <c r="G167" s="3">
        <v>45894.0</v>
      </c>
      <c r="H167" s="11">
        <v>7.3757036E7</v>
      </c>
      <c r="I167" s="2">
        <v>7.8799945E7</v>
      </c>
      <c r="J167" s="2" t="s">
        <v>20</v>
      </c>
      <c r="K167" s="2" t="s">
        <v>42</v>
      </c>
      <c r="L167" s="2">
        <v>97.0</v>
      </c>
      <c r="M167" s="2">
        <v>55.0</v>
      </c>
      <c r="N167" s="11">
        <v>737570.0</v>
      </c>
      <c r="O167" s="4">
        <v>45839.0</v>
      </c>
      <c r="P167" s="2" t="b">
        <v>1</v>
      </c>
    </row>
    <row r="168">
      <c r="A168" s="2" t="s">
        <v>264</v>
      </c>
      <c r="B168" s="2" t="s">
        <v>265</v>
      </c>
      <c r="C168" s="2" t="s">
        <v>64</v>
      </c>
      <c r="D168" s="2" t="s">
        <v>33</v>
      </c>
      <c r="E168" s="2">
        <v>77.0</v>
      </c>
      <c r="F168" s="3">
        <v>45736.0</v>
      </c>
      <c r="G168" s="3">
        <v>45843.0</v>
      </c>
      <c r="H168" s="11">
        <v>3.7131237E7</v>
      </c>
      <c r="I168" s="2">
        <v>3.6352438E7</v>
      </c>
      <c r="J168" s="2" t="s">
        <v>20</v>
      </c>
      <c r="K168" s="2" t="s">
        <v>25</v>
      </c>
      <c r="L168" s="2">
        <v>38.0</v>
      </c>
      <c r="M168" s="2">
        <v>107.0</v>
      </c>
      <c r="N168" s="11">
        <v>482224.0</v>
      </c>
      <c r="O168" s="4">
        <v>45717.0</v>
      </c>
      <c r="P168" s="2" t="b">
        <v>1</v>
      </c>
    </row>
    <row r="169">
      <c r="A169" s="2" t="s">
        <v>266</v>
      </c>
      <c r="B169" s="2" t="s">
        <v>39</v>
      </c>
      <c r="C169" s="2" t="s">
        <v>64</v>
      </c>
      <c r="D169" s="2" t="s">
        <v>33</v>
      </c>
      <c r="E169" s="2">
        <v>69.0</v>
      </c>
      <c r="F169" s="3">
        <v>45661.0</v>
      </c>
      <c r="G169" s="2" t="s">
        <v>414</v>
      </c>
      <c r="H169" s="11">
        <v>3.1494575E7</v>
      </c>
      <c r="I169" s="2" t="s">
        <v>414</v>
      </c>
      <c r="J169" s="2" t="s">
        <v>34</v>
      </c>
      <c r="K169" s="2" t="s">
        <v>73</v>
      </c>
      <c r="L169" s="2">
        <v>152.0</v>
      </c>
      <c r="N169" s="11">
        <v>456443.0</v>
      </c>
      <c r="O169" s="4">
        <v>45658.0</v>
      </c>
      <c r="P169" s="2" t="b">
        <v>0</v>
      </c>
    </row>
    <row r="170">
      <c r="A170" s="2" t="s">
        <v>267</v>
      </c>
      <c r="B170" s="2" t="s">
        <v>178</v>
      </c>
      <c r="C170" s="2" t="s">
        <v>28</v>
      </c>
      <c r="D170" s="2" t="s">
        <v>67</v>
      </c>
      <c r="E170" s="2">
        <v>45.0</v>
      </c>
      <c r="F170" s="3">
        <v>45404.0</v>
      </c>
      <c r="G170" s="2" t="s">
        <v>414</v>
      </c>
      <c r="H170" s="11">
        <v>2.4133213E7</v>
      </c>
      <c r="I170" s="2" t="s">
        <v>414</v>
      </c>
      <c r="J170" s="2" t="s">
        <v>69</v>
      </c>
      <c r="K170" s="2" t="s">
        <v>25</v>
      </c>
      <c r="L170" s="2">
        <v>168.0</v>
      </c>
      <c r="N170" s="11">
        <v>536294.0</v>
      </c>
      <c r="O170" s="4">
        <v>45383.0</v>
      </c>
      <c r="P170" s="2" t="b">
        <v>0</v>
      </c>
    </row>
    <row r="171">
      <c r="A171" s="2" t="s">
        <v>268</v>
      </c>
      <c r="B171" s="2" t="s">
        <v>60</v>
      </c>
      <c r="C171" s="2" t="s">
        <v>64</v>
      </c>
      <c r="D171" s="2" t="s">
        <v>102</v>
      </c>
      <c r="E171" s="2">
        <v>155.0</v>
      </c>
      <c r="F171" s="3">
        <v>45778.0</v>
      </c>
      <c r="G171" s="3">
        <v>45832.0</v>
      </c>
      <c r="H171" s="11">
        <v>8.4715718E7</v>
      </c>
      <c r="I171" s="2">
        <v>8.0133844E7</v>
      </c>
      <c r="J171" s="2" t="s">
        <v>20</v>
      </c>
      <c r="K171" s="2" t="s">
        <v>42</v>
      </c>
      <c r="L171" s="2">
        <v>93.0</v>
      </c>
      <c r="M171" s="2">
        <v>54.0</v>
      </c>
      <c r="N171" s="11">
        <v>546553.0</v>
      </c>
      <c r="O171" s="4">
        <v>45778.0</v>
      </c>
      <c r="P171" s="2" t="b">
        <v>1</v>
      </c>
    </row>
    <row r="172">
      <c r="A172" s="2" t="s">
        <v>269</v>
      </c>
      <c r="B172" s="2" t="s">
        <v>92</v>
      </c>
      <c r="C172" s="2" t="s">
        <v>93</v>
      </c>
      <c r="D172" s="2" t="s">
        <v>58</v>
      </c>
      <c r="E172" s="2">
        <v>279.0</v>
      </c>
      <c r="F172" s="3">
        <v>45183.0</v>
      </c>
      <c r="G172" s="3">
        <v>45339.0</v>
      </c>
      <c r="H172" s="11">
        <v>8.8366982E7</v>
      </c>
      <c r="I172" s="2">
        <v>9.0134637E7</v>
      </c>
      <c r="J172" s="2" t="s">
        <v>20</v>
      </c>
      <c r="K172" s="2" t="s">
        <v>25</v>
      </c>
      <c r="L172" s="2">
        <v>141.0</v>
      </c>
      <c r="M172" s="2">
        <v>156.0</v>
      </c>
      <c r="N172" s="11">
        <v>316728.0</v>
      </c>
      <c r="O172" s="4">
        <v>45170.0</v>
      </c>
      <c r="P172" s="2" t="b">
        <v>1</v>
      </c>
    </row>
    <row r="173">
      <c r="A173" s="2" t="s">
        <v>270</v>
      </c>
      <c r="B173" s="2" t="s">
        <v>135</v>
      </c>
      <c r="C173" s="2" t="s">
        <v>28</v>
      </c>
      <c r="D173" s="2" t="s">
        <v>102</v>
      </c>
      <c r="E173" s="2">
        <v>175.0</v>
      </c>
      <c r="F173" s="3">
        <v>45102.0</v>
      </c>
      <c r="G173" s="3">
        <v>45301.0</v>
      </c>
      <c r="H173" s="11">
        <v>2.25133191E8</v>
      </c>
      <c r="I173" s="2">
        <v>2.19284035E8</v>
      </c>
      <c r="J173" s="2" t="s">
        <v>20</v>
      </c>
      <c r="K173" s="2" t="s">
        <v>25</v>
      </c>
      <c r="L173" s="2">
        <v>15.0</v>
      </c>
      <c r="M173" s="2">
        <v>199.0</v>
      </c>
      <c r="N173" s="11">
        <v>1286475.0</v>
      </c>
      <c r="O173" s="4">
        <v>45078.0</v>
      </c>
      <c r="P173" s="2" t="b">
        <v>1</v>
      </c>
    </row>
    <row r="174">
      <c r="A174" s="2" t="s">
        <v>271</v>
      </c>
      <c r="B174" s="2" t="s">
        <v>78</v>
      </c>
      <c r="C174" s="2" t="s">
        <v>57</v>
      </c>
      <c r="D174" s="2" t="s">
        <v>19</v>
      </c>
      <c r="E174" s="2">
        <v>42.0</v>
      </c>
      <c r="F174" s="3">
        <v>45716.0</v>
      </c>
      <c r="G174" s="3">
        <v>45897.0</v>
      </c>
      <c r="H174" s="11">
        <v>1.0673709E7</v>
      </c>
      <c r="I174" s="2">
        <v>1.0796904E7</v>
      </c>
      <c r="J174" s="2" t="s">
        <v>20</v>
      </c>
      <c r="K174" s="2" t="s">
        <v>25</v>
      </c>
      <c r="L174" s="2">
        <v>168.0</v>
      </c>
      <c r="M174" s="2">
        <v>181.0</v>
      </c>
      <c r="N174" s="11">
        <v>254136.0</v>
      </c>
      <c r="O174" s="4">
        <v>45689.0</v>
      </c>
      <c r="P174" s="2" t="b">
        <v>1</v>
      </c>
    </row>
    <row r="175">
      <c r="A175" s="2" t="s">
        <v>272</v>
      </c>
      <c r="B175" s="2" t="s">
        <v>39</v>
      </c>
      <c r="C175" s="2" t="s">
        <v>28</v>
      </c>
      <c r="D175" s="2" t="s">
        <v>58</v>
      </c>
      <c r="E175" s="2">
        <v>124.0</v>
      </c>
      <c r="F175" s="3">
        <v>45177.0</v>
      </c>
      <c r="G175" s="2" t="s">
        <v>414</v>
      </c>
      <c r="H175" s="11">
        <v>1.17381947E8</v>
      </c>
      <c r="I175" s="2" t="s">
        <v>414</v>
      </c>
      <c r="J175" s="2" t="s">
        <v>34</v>
      </c>
      <c r="K175" s="2" t="s">
        <v>73</v>
      </c>
      <c r="L175" s="2">
        <v>23.0</v>
      </c>
      <c r="N175" s="11">
        <v>946629.0</v>
      </c>
      <c r="O175" s="4">
        <v>45170.0</v>
      </c>
      <c r="P175" s="2" t="b">
        <v>0</v>
      </c>
    </row>
    <row r="176">
      <c r="A176" s="2" t="s">
        <v>273</v>
      </c>
      <c r="B176" s="2" t="s">
        <v>119</v>
      </c>
      <c r="C176" s="2" t="s">
        <v>18</v>
      </c>
      <c r="D176" s="2" t="s">
        <v>102</v>
      </c>
      <c r="E176" s="2">
        <v>156.0</v>
      </c>
      <c r="F176" s="3">
        <v>45402.0</v>
      </c>
      <c r="G176" s="3">
        <v>45572.0</v>
      </c>
      <c r="H176" s="11">
        <v>4.9547724E7</v>
      </c>
      <c r="I176" s="2">
        <v>5.2413446E7</v>
      </c>
      <c r="J176" s="2" t="s">
        <v>20</v>
      </c>
      <c r="K176" s="2" t="s">
        <v>30</v>
      </c>
      <c r="L176" s="2">
        <v>93.0</v>
      </c>
      <c r="M176" s="2">
        <v>170.0</v>
      </c>
      <c r="N176" s="11">
        <v>317614.0</v>
      </c>
      <c r="O176" s="4">
        <v>45383.0</v>
      </c>
      <c r="P176" s="2" t="b">
        <v>1</v>
      </c>
    </row>
    <row r="177">
      <c r="A177" s="2" t="s">
        <v>274</v>
      </c>
      <c r="B177" s="2" t="s">
        <v>275</v>
      </c>
      <c r="C177" s="2" t="s">
        <v>101</v>
      </c>
      <c r="D177" s="2" t="s">
        <v>102</v>
      </c>
      <c r="E177" s="2">
        <v>147.0</v>
      </c>
      <c r="F177" s="3">
        <v>45035.0</v>
      </c>
      <c r="G177" s="3">
        <v>45169.0</v>
      </c>
      <c r="H177" s="11">
        <v>4.4602072E7</v>
      </c>
      <c r="I177" s="2">
        <v>4.4242372E7</v>
      </c>
      <c r="J177" s="2" t="s">
        <v>20</v>
      </c>
      <c r="K177" s="2" t="s">
        <v>42</v>
      </c>
      <c r="L177" s="2">
        <v>29.0</v>
      </c>
      <c r="M177" s="2">
        <v>134.0</v>
      </c>
      <c r="N177" s="11">
        <v>303415.0</v>
      </c>
      <c r="O177" s="4">
        <v>45017.0</v>
      </c>
      <c r="P177" s="2" t="b">
        <v>1</v>
      </c>
    </row>
    <row r="178">
      <c r="A178" s="2" t="s">
        <v>276</v>
      </c>
      <c r="B178" s="2" t="s">
        <v>208</v>
      </c>
      <c r="C178" s="2" t="s">
        <v>28</v>
      </c>
      <c r="D178" s="2" t="s">
        <v>49</v>
      </c>
      <c r="E178" s="2">
        <v>271.0</v>
      </c>
      <c r="F178" s="3">
        <v>45181.0</v>
      </c>
      <c r="G178" s="2" t="s">
        <v>414</v>
      </c>
      <c r="H178" s="11">
        <v>3.79051888E8</v>
      </c>
      <c r="I178" s="2" t="s">
        <v>414</v>
      </c>
      <c r="J178" s="2" t="s">
        <v>41</v>
      </c>
      <c r="K178" s="2" t="s">
        <v>25</v>
      </c>
      <c r="L178" s="2">
        <v>85.0</v>
      </c>
      <c r="N178" s="11">
        <v>1398715.0</v>
      </c>
      <c r="O178" s="4">
        <v>45170.0</v>
      </c>
      <c r="P178" s="2" t="b">
        <v>0</v>
      </c>
    </row>
    <row r="179">
      <c r="A179" s="2" t="s">
        <v>277</v>
      </c>
      <c r="B179" s="2" t="s">
        <v>66</v>
      </c>
      <c r="C179" s="2" t="s">
        <v>28</v>
      </c>
      <c r="D179" s="2" t="s">
        <v>102</v>
      </c>
      <c r="E179" s="2">
        <v>163.0</v>
      </c>
      <c r="F179" s="3">
        <v>45437.0</v>
      </c>
      <c r="G179" s="2" t="s">
        <v>414</v>
      </c>
      <c r="H179" s="11">
        <v>1.48814913E8</v>
      </c>
      <c r="I179" s="2" t="s">
        <v>414</v>
      </c>
      <c r="J179" s="2" t="s">
        <v>69</v>
      </c>
      <c r="K179" s="2" t="s">
        <v>73</v>
      </c>
      <c r="L179" s="2">
        <v>134.0</v>
      </c>
      <c r="N179" s="11">
        <v>912975.0</v>
      </c>
      <c r="O179" s="4">
        <v>45413.0</v>
      </c>
      <c r="P179" s="2" t="b">
        <v>0</v>
      </c>
    </row>
    <row r="180">
      <c r="A180" s="2" t="s">
        <v>278</v>
      </c>
      <c r="B180" s="2" t="s">
        <v>36</v>
      </c>
      <c r="C180" s="2" t="s">
        <v>64</v>
      </c>
      <c r="D180" s="2" t="s">
        <v>72</v>
      </c>
      <c r="E180" s="2">
        <v>235.0</v>
      </c>
      <c r="F180" s="3">
        <v>44976.0</v>
      </c>
      <c r="G180" s="3">
        <v>45117.0</v>
      </c>
      <c r="H180" s="11">
        <v>2.07292579E8</v>
      </c>
      <c r="I180" s="2">
        <v>2.18663809E8</v>
      </c>
      <c r="J180" s="2" t="s">
        <v>20</v>
      </c>
      <c r="K180" s="2" t="s">
        <v>73</v>
      </c>
      <c r="L180" s="2">
        <v>78.0</v>
      </c>
      <c r="M180" s="2">
        <v>141.0</v>
      </c>
      <c r="N180" s="11">
        <v>882096.0</v>
      </c>
      <c r="O180" s="4">
        <v>44958.0</v>
      </c>
      <c r="P180" s="2" t="b">
        <v>1</v>
      </c>
    </row>
    <row r="181">
      <c r="A181" s="2" t="s">
        <v>279</v>
      </c>
      <c r="B181" s="2" t="s">
        <v>160</v>
      </c>
      <c r="C181" s="2" t="s">
        <v>64</v>
      </c>
      <c r="D181" s="2" t="s">
        <v>33</v>
      </c>
      <c r="E181" s="2">
        <v>92.0</v>
      </c>
      <c r="F181" s="3">
        <v>45671.0</v>
      </c>
      <c r="G181" s="3">
        <v>45789.0</v>
      </c>
      <c r="H181" s="11">
        <v>4.1249922E7</v>
      </c>
      <c r="I181" s="2">
        <v>4.0593761E7</v>
      </c>
      <c r="J181" s="2" t="s">
        <v>20</v>
      </c>
      <c r="K181" s="2" t="s">
        <v>25</v>
      </c>
      <c r="L181" s="2">
        <v>148.0</v>
      </c>
      <c r="M181" s="2">
        <v>118.0</v>
      </c>
      <c r="N181" s="11">
        <v>448369.0</v>
      </c>
      <c r="O181" s="4">
        <v>45658.0</v>
      </c>
      <c r="P181" s="2" t="b">
        <v>1</v>
      </c>
    </row>
    <row r="182">
      <c r="A182" s="2" t="s">
        <v>280</v>
      </c>
      <c r="B182" s="2" t="s">
        <v>178</v>
      </c>
      <c r="C182" s="2" t="s">
        <v>28</v>
      </c>
      <c r="D182" s="2" t="s">
        <v>58</v>
      </c>
      <c r="E182" s="2">
        <v>123.0</v>
      </c>
      <c r="F182" s="3">
        <v>45443.0</v>
      </c>
      <c r="G182" s="3">
        <v>45598.0</v>
      </c>
      <c r="H182" s="11">
        <v>1.1062196E8</v>
      </c>
      <c r="I182" s="2">
        <v>1.19278627E8</v>
      </c>
      <c r="J182" s="2" t="s">
        <v>20</v>
      </c>
      <c r="K182" s="2" t="s">
        <v>25</v>
      </c>
      <c r="L182" s="2">
        <v>35.0</v>
      </c>
      <c r="M182" s="2">
        <v>155.0</v>
      </c>
      <c r="N182" s="11">
        <v>899366.0</v>
      </c>
      <c r="O182" s="4">
        <v>45413.0</v>
      </c>
      <c r="P182" s="2" t="b">
        <v>1</v>
      </c>
    </row>
    <row r="183">
      <c r="A183" s="2" t="s">
        <v>281</v>
      </c>
      <c r="B183" s="2" t="s">
        <v>106</v>
      </c>
      <c r="C183" s="2" t="s">
        <v>28</v>
      </c>
      <c r="D183" s="2" t="s">
        <v>33</v>
      </c>
      <c r="E183" s="2">
        <v>90.0</v>
      </c>
      <c r="F183" s="3">
        <v>45498.0</v>
      </c>
      <c r="G183" s="2" t="s">
        <v>414</v>
      </c>
      <c r="H183" s="11">
        <v>7.1116171E7</v>
      </c>
      <c r="I183" s="2" t="s">
        <v>414</v>
      </c>
      <c r="J183" s="2" t="s">
        <v>41</v>
      </c>
      <c r="K183" s="2" t="s">
        <v>25</v>
      </c>
      <c r="L183" s="2">
        <v>107.0</v>
      </c>
      <c r="N183" s="11">
        <v>790180.0</v>
      </c>
      <c r="O183" s="4">
        <v>45474.0</v>
      </c>
      <c r="P183" s="2" t="b">
        <v>0</v>
      </c>
    </row>
    <row r="184">
      <c r="A184" s="2" t="s">
        <v>282</v>
      </c>
      <c r="B184" s="2" t="s">
        <v>71</v>
      </c>
      <c r="C184" s="2" t="s">
        <v>64</v>
      </c>
      <c r="D184" s="2" t="s">
        <v>19</v>
      </c>
      <c r="E184" s="2">
        <v>41.0</v>
      </c>
      <c r="F184" s="3">
        <v>45268.0</v>
      </c>
      <c r="G184" s="2" t="s">
        <v>414</v>
      </c>
      <c r="H184" s="11">
        <v>1.6196814E7</v>
      </c>
      <c r="I184" s="2" t="s">
        <v>414</v>
      </c>
      <c r="J184" s="2" t="s">
        <v>34</v>
      </c>
      <c r="K184" s="2" t="s">
        <v>25</v>
      </c>
      <c r="L184" s="2">
        <v>136.0</v>
      </c>
      <c r="N184" s="11">
        <v>395044.0</v>
      </c>
      <c r="O184" s="6">
        <v>45261.0</v>
      </c>
      <c r="P184" s="2" t="b">
        <v>0</v>
      </c>
    </row>
    <row r="185">
      <c r="A185" s="2" t="s">
        <v>283</v>
      </c>
      <c r="B185" s="2" t="s">
        <v>284</v>
      </c>
      <c r="C185" s="2" t="s">
        <v>28</v>
      </c>
      <c r="D185" s="2" t="s">
        <v>29</v>
      </c>
      <c r="E185" s="2">
        <v>3009.0</v>
      </c>
      <c r="F185" s="3">
        <v>45941.0</v>
      </c>
      <c r="G185" s="2" t="s">
        <v>414</v>
      </c>
      <c r="H185" s="11">
        <v>1.2516383E9</v>
      </c>
      <c r="I185" s="2">
        <v>1.253103214E9</v>
      </c>
      <c r="J185" s="2" t="s">
        <v>20</v>
      </c>
      <c r="K185" s="2" t="s">
        <v>25</v>
      </c>
      <c r="L185" s="2">
        <v>141.0</v>
      </c>
      <c r="M185" s="2">
        <v>91.0</v>
      </c>
      <c r="N185" s="11">
        <v>415965.0</v>
      </c>
      <c r="O185" s="6">
        <v>45931.0</v>
      </c>
      <c r="P185" s="2" t="b">
        <v>1</v>
      </c>
    </row>
    <row r="186">
      <c r="A186" s="2" t="s">
        <v>285</v>
      </c>
      <c r="B186" s="2" t="s">
        <v>129</v>
      </c>
      <c r="C186" s="2" t="s">
        <v>64</v>
      </c>
      <c r="D186" s="2" t="s">
        <v>29</v>
      </c>
      <c r="E186" s="2">
        <v>2855.0</v>
      </c>
      <c r="F186" s="3">
        <v>45304.0</v>
      </c>
      <c r="G186" s="3">
        <v>45347.0</v>
      </c>
      <c r="H186" s="11">
        <v>7.18023194E8</v>
      </c>
      <c r="I186" s="2">
        <v>7.27639206E8</v>
      </c>
      <c r="J186" s="2" t="s">
        <v>20</v>
      </c>
      <c r="K186" s="2" t="s">
        <v>21</v>
      </c>
      <c r="L186" s="2">
        <v>157.0</v>
      </c>
      <c r="M186" s="2">
        <v>43.0</v>
      </c>
      <c r="N186" s="11">
        <v>251497.0</v>
      </c>
      <c r="O186" s="4">
        <v>45292.0</v>
      </c>
      <c r="P186" s="2" t="b">
        <v>1</v>
      </c>
    </row>
    <row r="187">
      <c r="A187" s="2" t="s">
        <v>286</v>
      </c>
      <c r="B187" s="2" t="s">
        <v>121</v>
      </c>
      <c r="C187" s="2" t="s">
        <v>64</v>
      </c>
      <c r="D187" s="2" t="s">
        <v>29</v>
      </c>
      <c r="E187" s="2">
        <v>2264.0</v>
      </c>
      <c r="F187" s="3">
        <v>45418.0</v>
      </c>
      <c r="G187" s="3">
        <v>45594.0</v>
      </c>
      <c r="H187" s="11">
        <v>5.21944393E8</v>
      </c>
      <c r="I187" s="2">
        <v>5.44877053E8</v>
      </c>
      <c r="J187" s="2" t="s">
        <v>20</v>
      </c>
      <c r="K187" s="2" t="s">
        <v>73</v>
      </c>
      <c r="L187" s="2">
        <v>42.0</v>
      </c>
      <c r="M187" s="2">
        <v>176.0</v>
      </c>
      <c r="N187" s="11">
        <v>230541.0</v>
      </c>
      <c r="O187" s="4">
        <v>45413.0</v>
      </c>
      <c r="P187" s="2" t="b">
        <v>1</v>
      </c>
    </row>
    <row r="188">
      <c r="A188" s="2" t="s">
        <v>287</v>
      </c>
      <c r="B188" s="2" t="s">
        <v>137</v>
      </c>
      <c r="C188" s="2" t="s">
        <v>57</v>
      </c>
      <c r="D188" s="2" t="s">
        <v>72</v>
      </c>
      <c r="E188" s="2">
        <v>188.0</v>
      </c>
      <c r="F188" s="3">
        <v>45039.0</v>
      </c>
      <c r="G188" s="3">
        <v>45166.0</v>
      </c>
      <c r="H188" s="11">
        <v>1.05632452E8</v>
      </c>
      <c r="I188" s="2">
        <v>9.9741224E7</v>
      </c>
      <c r="J188" s="2" t="s">
        <v>20</v>
      </c>
      <c r="K188" s="2" t="s">
        <v>42</v>
      </c>
      <c r="L188" s="2">
        <v>110.0</v>
      </c>
      <c r="M188" s="2">
        <v>127.0</v>
      </c>
      <c r="N188" s="11">
        <v>561875.0</v>
      </c>
      <c r="O188" s="4">
        <v>45017.0</v>
      </c>
      <c r="P188" s="2" t="b">
        <v>1</v>
      </c>
    </row>
    <row r="189">
      <c r="A189" s="2" t="s">
        <v>288</v>
      </c>
      <c r="B189" s="2" t="s">
        <v>78</v>
      </c>
      <c r="C189" s="2" t="s">
        <v>64</v>
      </c>
      <c r="D189" s="2" t="s">
        <v>29</v>
      </c>
      <c r="E189" s="2">
        <v>4263.0</v>
      </c>
      <c r="F189" s="3">
        <v>45068.0</v>
      </c>
      <c r="G189" s="3">
        <v>45226.0</v>
      </c>
      <c r="H189" s="11">
        <v>8.46009454E8</v>
      </c>
      <c r="I189" s="2">
        <v>8.67968719E8</v>
      </c>
      <c r="J189" s="2" t="s">
        <v>20</v>
      </c>
      <c r="K189" s="2" t="s">
        <v>25</v>
      </c>
      <c r="L189" s="2">
        <v>101.0</v>
      </c>
      <c r="M189" s="2">
        <v>158.0</v>
      </c>
      <c r="N189" s="11">
        <v>198454.0</v>
      </c>
      <c r="O189" s="4">
        <v>45047.0</v>
      </c>
      <c r="P189" s="2" t="b">
        <v>1</v>
      </c>
    </row>
    <row r="190">
      <c r="A190" s="2" t="s">
        <v>289</v>
      </c>
      <c r="B190" s="2" t="s">
        <v>201</v>
      </c>
      <c r="C190" s="2" t="s">
        <v>24</v>
      </c>
      <c r="D190" s="2" t="s">
        <v>102</v>
      </c>
      <c r="E190" s="2">
        <v>158.0</v>
      </c>
      <c r="F190" s="3">
        <v>45486.0</v>
      </c>
      <c r="G190" s="3">
        <v>45685.0</v>
      </c>
      <c r="H190" s="11">
        <v>1.44075051E8</v>
      </c>
      <c r="I190" s="2">
        <v>1.51074851E8</v>
      </c>
      <c r="J190" s="2" t="s">
        <v>20</v>
      </c>
      <c r="K190" s="2" t="s">
        <v>30</v>
      </c>
      <c r="L190" s="2">
        <v>161.0</v>
      </c>
      <c r="M190" s="2">
        <v>199.0</v>
      </c>
      <c r="N190" s="11">
        <v>911867.0</v>
      </c>
      <c r="O190" s="4">
        <v>45474.0</v>
      </c>
      <c r="P190" s="2" t="b">
        <v>1</v>
      </c>
    </row>
    <row r="191">
      <c r="A191" s="2" t="s">
        <v>290</v>
      </c>
      <c r="B191" s="2" t="s">
        <v>201</v>
      </c>
      <c r="C191" s="2" t="s">
        <v>64</v>
      </c>
      <c r="D191" s="2" t="s">
        <v>72</v>
      </c>
      <c r="E191" s="2">
        <v>251.0</v>
      </c>
      <c r="F191" s="3">
        <v>45157.0</v>
      </c>
      <c r="G191" s="2" t="s">
        <v>414</v>
      </c>
      <c r="H191" s="11">
        <v>2.35528476E8</v>
      </c>
      <c r="I191" s="2" t="s">
        <v>414</v>
      </c>
      <c r="J191" s="2" t="s">
        <v>69</v>
      </c>
      <c r="K191" s="2" t="s">
        <v>42</v>
      </c>
      <c r="L191" s="2">
        <v>130.0</v>
      </c>
      <c r="N191" s="11">
        <v>938360.0</v>
      </c>
      <c r="O191" s="4">
        <v>45139.0</v>
      </c>
      <c r="P191" s="2" t="b">
        <v>0</v>
      </c>
    </row>
    <row r="192">
      <c r="A192" s="2" t="s">
        <v>291</v>
      </c>
      <c r="B192" s="2" t="s">
        <v>256</v>
      </c>
      <c r="C192" s="2" t="s">
        <v>24</v>
      </c>
      <c r="D192" s="2" t="s">
        <v>67</v>
      </c>
      <c r="E192" s="2">
        <v>42.0</v>
      </c>
      <c r="F192" s="3">
        <v>45051.0</v>
      </c>
      <c r="G192" s="3">
        <v>45205.0</v>
      </c>
      <c r="H192" s="11">
        <v>1.9145882E7</v>
      </c>
      <c r="I192" s="2">
        <v>2.0616777E7</v>
      </c>
      <c r="J192" s="2" t="s">
        <v>20</v>
      </c>
      <c r="K192" s="2" t="s">
        <v>30</v>
      </c>
      <c r="L192" s="2">
        <v>42.0</v>
      </c>
      <c r="M192" s="2">
        <v>154.0</v>
      </c>
      <c r="N192" s="11">
        <v>455854.0</v>
      </c>
      <c r="O192" s="4">
        <v>45047.0</v>
      </c>
      <c r="P192" s="2" t="b">
        <v>1</v>
      </c>
    </row>
    <row r="193">
      <c r="A193" s="2" t="s">
        <v>292</v>
      </c>
      <c r="B193" s="2" t="s">
        <v>123</v>
      </c>
      <c r="C193" s="2" t="s">
        <v>24</v>
      </c>
      <c r="D193" s="2" t="s">
        <v>37</v>
      </c>
      <c r="E193" s="2">
        <v>340.0</v>
      </c>
      <c r="F193" s="3">
        <v>45598.0</v>
      </c>
      <c r="G193" s="3">
        <v>45735.0</v>
      </c>
      <c r="H193" s="11">
        <v>4.54886154E8</v>
      </c>
      <c r="I193" s="2">
        <v>4.78755064E8</v>
      </c>
      <c r="J193" s="2" t="s">
        <v>20</v>
      </c>
      <c r="K193" s="2" t="s">
        <v>30</v>
      </c>
      <c r="L193" s="2">
        <v>148.0</v>
      </c>
      <c r="M193" s="2">
        <v>137.0</v>
      </c>
      <c r="N193" s="11">
        <v>1337900.0</v>
      </c>
      <c r="O193" s="6">
        <v>45597.0</v>
      </c>
      <c r="P193" s="2" t="b">
        <v>1</v>
      </c>
    </row>
    <row r="194">
      <c r="A194" s="2" t="s">
        <v>293</v>
      </c>
      <c r="B194" s="2" t="s">
        <v>137</v>
      </c>
      <c r="C194" s="2" t="s">
        <v>18</v>
      </c>
      <c r="D194" s="2" t="s">
        <v>102</v>
      </c>
      <c r="E194" s="2">
        <v>113.0</v>
      </c>
      <c r="F194" s="3">
        <v>45527.0</v>
      </c>
      <c r="G194" s="3">
        <v>45554.0</v>
      </c>
      <c r="H194" s="11">
        <v>4.4214273E7</v>
      </c>
      <c r="I194" s="2">
        <v>4.4433869E7</v>
      </c>
      <c r="J194" s="2" t="s">
        <v>20</v>
      </c>
      <c r="K194" s="2" t="s">
        <v>42</v>
      </c>
      <c r="L194" s="2">
        <v>18.0</v>
      </c>
      <c r="M194" s="2">
        <v>27.0</v>
      </c>
      <c r="N194" s="11">
        <v>391277.0</v>
      </c>
      <c r="O194" s="4">
        <v>45505.0</v>
      </c>
      <c r="P194" s="2" t="b">
        <v>1</v>
      </c>
    </row>
    <row r="195">
      <c r="A195" s="2" t="s">
        <v>294</v>
      </c>
      <c r="B195" s="2" t="s">
        <v>56</v>
      </c>
      <c r="C195" s="2" t="s">
        <v>28</v>
      </c>
      <c r="D195" s="2" t="s">
        <v>67</v>
      </c>
      <c r="E195" s="2">
        <v>40.0</v>
      </c>
      <c r="F195" s="3">
        <v>45716.0</v>
      </c>
      <c r="G195" s="3">
        <v>45871.0</v>
      </c>
      <c r="H195" s="11">
        <v>2.9539709E7</v>
      </c>
      <c r="I195" s="2">
        <v>2.7923017E7</v>
      </c>
      <c r="J195" s="2" t="s">
        <v>20</v>
      </c>
      <c r="K195" s="2" t="s">
        <v>73</v>
      </c>
      <c r="L195" s="2">
        <v>127.0</v>
      </c>
      <c r="M195" s="2">
        <v>155.0</v>
      </c>
      <c r="N195" s="11">
        <v>738493.0</v>
      </c>
      <c r="O195" s="4">
        <v>45689.0</v>
      </c>
      <c r="P195" s="2" t="b">
        <v>1</v>
      </c>
    </row>
    <row r="196">
      <c r="A196" s="2" t="s">
        <v>295</v>
      </c>
      <c r="B196" s="2" t="s">
        <v>220</v>
      </c>
      <c r="C196" s="2" t="s">
        <v>18</v>
      </c>
      <c r="D196" s="2" t="s">
        <v>37</v>
      </c>
      <c r="E196" s="2">
        <v>464.0</v>
      </c>
      <c r="F196" s="3">
        <v>44987.0</v>
      </c>
      <c r="G196" s="2" t="s">
        <v>414</v>
      </c>
      <c r="H196" s="11">
        <v>3.17527452E8</v>
      </c>
      <c r="I196" s="2" t="s">
        <v>414</v>
      </c>
      <c r="J196" s="2" t="s">
        <v>41</v>
      </c>
      <c r="K196" s="2" t="s">
        <v>42</v>
      </c>
      <c r="L196" s="2">
        <v>141.0</v>
      </c>
      <c r="N196" s="11">
        <v>684326.0</v>
      </c>
      <c r="O196" s="4">
        <v>44986.0</v>
      </c>
      <c r="P196" s="2" t="b">
        <v>0</v>
      </c>
    </row>
    <row r="197">
      <c r="A197" s="2" t="s">
        <v>296</v>
      </c>
      <c r="B197" s="2" t="s">
        <v>284</v>
      </c>
      <c r="C197" s="2" t="s">
        <v>57</v>
      </c>
      <c r="D197" s="2" t="s">
        <v>19</v>
      </c>
      <c r="E197" s="2">
        <v>69.0</v>
      </c>
      <c r="F197" s="3">
        <v>45830.0</v>
      </c>
      <c r="G197" s="2" t="s">
        <v>414</v>
      </c>
      <c r="H197" s="11">
        <v>2.3438768E7</v>
      </c>
      <c r="I197" s="2" t="s">
        <v>414</v>
      </c>
      <c r="J197" s="2" t="s">
        <v>41</v>
      </c>
      <c r="K197" s="2" t="s">
        <v>73</v>
      </c>
      <c r="L197" s="2">
        <v>131.0</v>
      </c>
      <c r="N197" s="11">
        <v>339692.0</v>
      </c>
      <c r="O197" s="4">
        <v>45809.0</v>
      </c>
      <c r="P197" s="2" t="b">
        <v>0</v>
      </c>
    </row>
    <row r="198">
      <c r="A198" s="2" t="s">
        <v>297</v>
      </c>
      <c r="B198" s="2" t="s">
        <v>46</v>
      </c>
      <c r="C198" s="2" t="s">
        <v>28</v>
      </c>
      <c r="D198" s="2" t="s">
        <v>37</v>
      </c>
      <c r="E198" s="2">
        <v>319.0</v>
      </c>
      <c r="F198" s="3">
        <v>45508.0</v>
      </c>
      <c r="G198" s="3">
        <v>45608.0</v>
      </c>
      <c r="H198" s="11">
        <v>5.74950324E8</v>
      </c>
      <c r="I198" s="2">
        <v>6.19943587E8</v>
      </c>
      <c r="J198" s="2" t="s">
        <v>20</v>
      </c>
      <c r="K198" s="2" t="s">
        <v>25</v>
      </c>
      <c r="L198" s="2">
        <v>139.0</v>
      </c>
      <c r="M198" s="2">
        <v>100.0</v>
      </c>
      <c r="N198" s="11">
        <v>1802352.0</v>
      </c>
      <c r="O198" s="4">
        <v>45505.0</v>
      </c>
      <c r="P198" s="2" t="b">
        <v>1</v>
      </c>
    </row>
    <row r="199">
      <c r="A199" s="2" t="s">
        <v>298</v>
      </c>
      <c r="B199" s="2" t="s">
        <v>95</v>
      </c>
      <c r="C199" s="2" t="s">
        <v>64</v>
      </c>
      <c r="D199" s="2" t="s">
        <v>102</v>
      </c>
      <c r="E199" s="2">
        <v>164.0</v>
      </c>
      <c r="F199" s="3">
        <v>45124.0</v>
      </c>
      <c r="G199" s="2" t="s">
        <v>414</v>
      </c>
      <c r="H199" s="11">
        <v>8.4408538E7</v>
      </c>
      <c r="I199" s="2" t="s">
        <v>414</v>
      </c>
      <c r="J199" s="2" t="s">
        <v>69</v>
      </c>
      <c r="K199" s="2" t="s">
        <v>73</v>
      </c>
      <c r="L199" s="2">
        <v>170.0</v>
      </c>
      <c r="N199" s="11">
        <v>514686.0</v>
      </c>
      <c r="O199" s="4">
        <v>45108.0</v>
      </c>
      <c r="P199" s="2" t="b">
        <v>0</v>
      </c>
    </row>
    <row r="200">
      <c r="A200" s="2" t="s">
        <v>299</v>
      </c>
      <c r="B200" s="2" t="s">
        <v>106</v>
      </c>
      <c r="C200" s="2" t="s">
        <v>24</v>
      </c>
      <c r="D200" s="2" t="s">
        <v>102</v>
      </c>
      <c r="E200" s="2">
        <v>101.0</v>
      </c>
      <c r="F200" s="3">
        <v>45508.0</v>
      </c>
      <c r="G200" s="3">
        <v>45572.0</v>
      </c>
      <c r="H200" s="11">
        <v>7.5513745E7</v>
      </c>
      <c r="I200" s="2">
        <v>7.9816778E7</v>
      </c>
      <c r="J200" s="2" t="s">
        <v>20</v>
      </c>
      <c r="K200" s="2" t="s">
        <v>73</v>
      </c>
      <c r="L200" s="2">
        <v>114.0</v>
      </c>
      <c r="M200" s="2">
        <v>64.0</v>
      </c>
      <c r="N200" s="11">
        <v>747661.0</v>
      </c>
      <c r="O200" s="4">
        <v>45505.0</v>
      </c>
      <c r="P200" s="2" t="b">
        <v>1</v>
      </c>
    </row>
    <row r="201">
      <c r="A201" s="2" t="s">
        <v>300</v>
      </c>
      <c r="B201" s="2" t="s">
        <v>227</v>
      </c>
      <c r="C201" s="2" t="s">
        <v>64</v>
      </c>
      <c r="D201" s="2" t="s">
        <v>33</v>
      </c>
      <c r="E201" s="2">
        <v>90.0</v>
      </c>
      <c r="F201" s="3">
        <v>45932.0</v>
      </c>
      <c r="G201" s="2" t="s">
        <v>414</v>
      </c>
      <c r="H201" s="11">
        <v>4.9585371E7</v>
      </c>
      <c r="I201" s="2">
        <v>4.5672729E7</v>
      </c>
      <c r="J201" s="2" t="s">
        <v>20</v>
      </c>
      <c r="K201" s="2" t="s">
        <v>73</v>
      </c>
      <c r="L201" s="2">
        <v>65.0</v>
      </c>
      <c r="M201" s="2">
        <v>97.0</v>
      </c>
      <c r="N201" s="11">
        <v>550949.0</v>
      </c>
      <c r="O201" s="6">
        <v>45931.0</v>
      </c>
      <c r="P201" s="2" t="b">
        <v>1</v>
      </c>
    </row>
    <row r="202">
      <c r="A202" s="2" t="s">
        <v>301</v>
      </c>
      <c r="B202" s="2" t="s">
        <v>63</v>
      </c>
      <c r="C202" s="2" t="s">
        <v>24</v>
      </c>
      <c r="D202" s="2" t="s">
        <v>37</v>
      </c>
      <c r="E202" s="2">
        <v>468.0</v>
      </c>
      <c r="F202" s="3">
        <v>45667.0</v>
      </c>
      <c r="G202" s="3">
        <v>45748.0</v>
      </c>
      <c r="H202" s="11">
        <v>7.43842422E8</v>
      </c>
      <c r="I202" s="2">
        <v>7.66784734E8</v>
      </c>
      <c r="J202" s="2" t="s">
        <v>20</v>
      </c>
      <c r="K202" s="2" t="s">
        <v>21</v>
      </c>
      <c r="L202" s="2">
        <v>175.0</v>
      </c>
      <c r="M202" s="2">
        <v>81.0</v>
      </c>
      <c r="N202" s="11">
        <v>1589407.0</v>
      </c>
      <c r="O202" s="4">
        <v>45658.0</v>
      </c>
      <c r="P202" s="2" t="b">
        <v>1</v>
      </c>
    </row>
    <row r="203">
      <c r="A203" s="2" t="s">
        <v>302</v>
      </c>
      <c r="B203" s="2" t="s">
        <v>113</v>
      </c>
      <c r="C203" s="2" t="s">
        <v>28</v>
      </c>
      <c r="D203" s="2" t="s">
        <v>37</v>
      </c>
      <c r="E203" s="2">
        <v>381.0</v>
      </c>
      <c r="F203" s="3">
        <v>45441.0</v>
      </c>
      <c r="G203" s="2" t="s">
        <v>414</v>
      </c>
      <c r="H203" s="11">
        <v>8.2499496E8</v>
      </c>
      <c r="I203" s="2" t="s">
        <v>414</v>
      </c>
      <c r="J203" s="2" t="s">
        <v>34</v>
      </c>
      <c r="K203" s="2" t="s">
        <v>21</v>
      </c>
      <c r="L203" s="2">
        <v>168.0</v>
      </c>
      <c r="N203" s="11">
        <v>2165341.0</v>
      </c>
      <c r="O203" s="4">
        <v>45413.0</v>
      </c>
      <c r="P203" s="2" t="b">
        <v>0</v>
      </c>
    </row>
    <row r="204">
      <c r="A204" s="2" t="s">
        <v>303</v>
      </c>
      <c r="B204" s="2" t="s">
        <v>135</v>
      </c>
      <c r="C204" s="2" t="s">
        <v>93</v>
      </c>
      <c r="D204" s="2" t="s">
        <v>37</v>
      </c>
      <c r="E204" s="2">
        <v>488.0</v>
      </c>
      <c r="F204" s="3">
        <v>45151.0</v>
      </c>
      <c r="G204" s="2" t="s">
        <v>414</v>
      </c>
      <c r="H204" s="11">
        <v>2.93503202E8</v>
      </c>
      <c r="I204" s="2" t="s">
        <v>414</v>
      </c>
      <c r="J204" s="2" t="s">
        <v>69</v>
      </c>
      <c r="K204" s="2" t="s">
        <v>25</v>
      </c>
      <c r="L204" s="2">
        <v>100.0</v>
      </c>
      <c r="N204" s="11">
        <v>601441.0</v>
      </c>
      <c r="O204" s="4">
        <v>45139.0</v>
      </c>
      <c r="P204" s="2" t="b">
        <v>0</v>
      </c>
    </row>
    <row r="205">
      <c r="A205" s="2" t="s">
        <v>304</v>
      </c>
      <c r="B205" s="2" t="s">
        <v>145</v>
      </c>
      <c r="C205" s="2" t="s">
        <v>24</v>
      </c>
      <c r="D205" s="2" t="s">
        <v>58</v>
      </c>
      <c r="E205" s="2">
        <v>283.0</v>
      </c>
      <c r="F205" s="3">
        <v>45748.0</v>
      </c>
      <c r="G205" s="3">
        <v>45818.0</v>
      </c>
      <c r="H205" s="11">
        <v>2.33656643E8</v>
      </c>
      <c r="I205" s="2">
        <v>2.40398737E8</v>
      </c>
      <c r="J205" s="2" t="s">
        <v>20</v>
      </c>
      <c r="K205" s="2" t="s">
        <v>25</v>
      </c>
      <c r="L205" s="2">
        <v>25.0</v>
      </c>
      <c r="M205" s="2">
        <v>70.0</v>
      </c>
      <c r="N205" s="11">
        <v>825642.0</v>
      </c>
      <c r="O205" s="4">
        <v>45748.0</v>
      </c>
      <c r="P205" s="2" t="b">
        <v>1</v>
      </c>
    </row>
    <row r="206">
      <c r="A206" s="2" t="s">
        <v>305</v>
      </c>
      <c r="B206" s="2" t="s">
        <v>54</v>
      </c>
      <c r="C206" s="2" t="s">
        <v>64</v>
      </c>
      <c r="D206" s="2" t="s">
        <v>58</v>
      </c>
      <c r="E206" s="2">
        <v>230.0</v>
      </c>
      <c r="F206" s="3">
        <v>45866.0</v>
      </c>
      <c r="G206" s="3">
        <v>45896.0</v>
      </c>
      <c r="H206" s="11">
        <v>1.3451487E8</v>
      </c>
      <c r="I206" s="2">
        <v>1.43185981E8</v>
      </c>
      <c r="J206" s="2" t="s">
        <v>20</v>
      </c>
      <c r="K206" s="2" t="s">
        <v>42</v>
      </c>
      <c r="L206" s="2">
        <v>151.0</v>
      </c>
      <c r="M206" s="2">
        <v>30.0</v>
      </c>
      <c r="N206" s="11">
        <v>584847.0</v>
      </c>
      <c r="O206" s="4">
        <v>45839.0</v>
      </c>
      <c r="P206" s="2" t="b">
        <v>1</v>
      </c>
    </row>
    <row r="207">
      <c r="A207" s="2" t="s">
        <v>306</v>
      </c>
      <c r="B207" s="2" t="s">
        <v>66</v>
      </c>
      <c r="C207" s="2" t="s">
        <v>64</v>
      </c>
      <c r="D207" s="2" t="s">
        <v>102</v>
      </c>
      <c r="E207" s="2">
        <v>141.0</v>
      </c>
      <c r="F207" s="3">
        <v>45046.0</v>
      </c>
      <c r="G207" s="2" t="s">
        <v>414</v>
      </c>
      <c r="H207" s="11">
        <v>8.5915985E7</v>
      </c>
      <c r="I207" s="2" t="s">
        <v>414</v>
      </c>
      <c r="J207" s="2" t="s">
        <v>34</v>
      </c>
      <c r="K207" s="2" t="s">
        <v>21</v>
      </c>
      <c r="L207" s="2">
        <v>135.0</v>
      </c>
      <c r="N207" s="11">
        <v>609333.0</v>
      </c>
      <c r="O207" s="4">
        <v>45017.0</v>
      </c>
      <c r="P207" s="2" t="b">
        <v>0</v>
      </c>
    </row>
    <row r="208">
      <c r="A208" s="2" t="s">
        <v>307</v>
      </c>
      <c r="B208" s="2" t="s">
        <v>44</v>
      </c>
      <c r="C208" s="2" t="s">
        <v>24</v>
      </c>
      <c r="D208" s="2" t="s">
        <v>19</v>
      </c>
      <c r="E208" s="2">
        <v>54.0</v>
      </c>
      <c r="F208" s="3">
        <v>45352.0</v>
      </c>
      <c r="G208" s="3">
        <v>45381.0</v>
      </c>
      <c r="H208" s="11">
        <v>3.2028435E7</v>
      </c>
      <c r="I208" s="2">
        <v>3.2913791E7</v>
      </c>
      <c r="J208" s="2" t="s">
        <v>20</v>
      </c>
      <c r="K208" s="2" t="s">
        <v>30</v>
      </c>
      <c r="L208" s="2">
        <v>10.0</v>
      </c>
      <c r="M208" s="2">
        <v>29.0</v>
      </c>
      <c r="N208" s="11">
        <v>593119.0</v>
      </c>
      <c r="O208" s="4">
        <v>45352.0</v>
      </c>
      <c r="P208" s="2" t="b">
        <v>1</v>
      </c>
    </row>
    <row r="209">
      <c r="A209" s="2" t="s">
        <v>308</v>
      </c>
      <c r="B209" s="2" t="s">
        <v>183</v>
      </c>
      <c r="C209" s="2" t="s">
        <v>24</v>
      </c>
      <c r="D209" s="2" t="s">
        <v>19</v>
      </c>
      <c r="E209" s="2">
        <v>63.0</v>
      </c>
      <c r="F209" s="3">
        <v>45001.0</v>
      </c>
      <c r="G209" s="3">
        <v>45104.0</v>
      </c>
      <c r="H209" s="11">
        <v>3.9337833E7</v>
      </c>
      <c r="I209" s="2">
        <v>3.9596918E7</v>
      </c>
      <c r="J209" s="2" t="s">
        <v>20</v>
      </c>
      <c r="K209" s="2" t="s">
        <v>21</v>
      </c>
      <c r="L209" s="2">
        <v>22.0</v>
      </c>
      <c r="M209" s="2">
        <v>103.0</v>
      </c>
      <c r="N209" s="11">
        <v>624410.0</v>
      </c>
      <c r="O209" s="4">
        <v>44986.0</v>
      </c>
      <c r="P209" s="2" t="b">
        <v>1</v>
      </c>
    </row>
    <row r="210">
      <c r="A210" s="2" t="s">
        <v>309</v>
      </c>
      <c r="B210" s="2" t="s">
        <v>39</v>
      </c>
      <c r="C210" s="2" t="s">
        <v>101</v>
      </c>
      <c r="D210" s="2" t="s">
        <v>81</v>
      </c>
      <c r="E210" s="2">
        <v>659.0</v>
      </c>
      <c r="F210" s="3">
        <v>45111.0</v>
      </c>
      <c r="G210" s="2" t="s">
        <v>414</v>
      </c>
      <c r="H210" s="11">
        <v>1.32522261E8</v>
      </c>
      <c r="I210" s="2" t="s">
        <v>414</v>
      </c>
      <c r="J210" s="2" t="s">
        <v>34</v>
      </c>
      <c r="K210" s="2" t="s">
        <v>73</v>
      </c>
      <c r="L210" s="2">
        <v>100.0</v>
      </c>
      <c r="N210" s="11">
        <v>201096.0</v>
      </c>
      <c r="O210" s="4">
        <v>45108.0</v>
      </c>
      <c r="P210" s="2" t="b">
        <v>0</v>
      </c>
    </row>
    <row r="211">
      <c r="A211" s="2" t="s">
        <v>310</v>
      </c>
      <c r="B211" s="2" t="s">
        <v>119</v>
      </c>
      <c r="C211" s="2" t="s">
        <v>101</v>
      </c>
      <c r="D211" s="2" t="s">
        <v>49</v>
      </c>
      <c r="E211" s="2">
        <v>164.0</v>
      </c>
      <c r="F211" s="3">
        <v>45009.0</v>
      </c>
      <c r="G211" s="2" t="s">
        <v>414</v>
      </c>
      <c r="H211" s="11">
        <v>7.4379333E7</v>
      </c>
      <c r="I211" s="2" t="s">
        <v>414</v>
      </c>
      <c r="J211" s="2" t="s">
        <v>34</v>
      </c>
      <c r="K211" s="2" t="s">
        <v>42</v>
      </c>
      <c r="L211" s="2">
        <v>172.0</v>
      </c>
      <c r="N211" s="11">
        <v>453533.0</v>
      </c>
      <c r="O211" s="4">
        <v>44986.0</v>
      </c>
      <c r="P211" s="2" t="b">
        <v>0</v>
      </c>
    </row>
    <row r="212">
      <c r="A212" s="2" t="s">
        <v>311</v>
      </c>
      <c r="B212" s="2" t="s">
        <v>66</v>
      </c>
      <c r="C212" s="2" t="s">
        <v>40</v>
      </c>
      <c r="D212" s="2" t="s">
        <v>33</v>
      </c>
      <c r="E212" s="2">
        <v>76.0</v>
      </c>
      <c r="F212" s="3">
        <v>45468.0</v>
      </c>
      <c r="G212" s="3">
        <v>45540.0</v>
      </c>
      <c r="H212" s="11">
        <v>2.2494644E7</v>
      </c>
      <c r="I212" s="2">
        <v>2.341667E7</v>
      </c>
      <c r="J212" s="2" t="s">
        <v>20</v>
      </c>
      <c r="K212" s="2" t="s">
        <v>30</v>
      </c>
      <c r="L212" s="2">
        <v>123.0</v>
      </c>
      <c r="M212" s="2">
        <v>72.0</v>
      </c>
      <c r="N212" s="11">
        <v>295982.0</v>
      </c>
      <c r="O212" s="4">
        <v>45444.0</v>
      </c>
      <c r="P212" s="2" t="b">
        <v>1</v>
      </c>
    </row>
    <row r="213">
      <c r="A213" s="2" t="s">
        <v>312</v>
      </c>
      <c r="B213" s="2" t="s">
        <v>66</v>
      </c>
      <c r="C213" s="2" t="s">
        <v>18</v>
      </c>
      <c r="D213" s="2" t="s">
        <v>58</v>
      </c>
      <c r="E213" s="2">
        <v>158.0</v>
      </c>
      <c r="F213" s="3">
        <v>45770.0</v>
      </c>
      <c r="G213" s="3">
        <v>45902.0</v>
      </c>
      <c r="H213" s="11">
        <v>4.8102606E7</v>
      </c>
      <c r="I213" s="2">
        <v>4.6375912E7</v>
      </c>
      <c r="J213" s="2" t="s">
        <v>20</v>
      </c>
      <c r="K213" s="2" t="s">
        <v>21</v>
      </c>
      <c r="L213" s="2">
        <v>13.0</v>
      </c>
      <c r="M213" s="2">
        <v>132.0</v>
      </c>
      <c r="N213" s="11">
        <v>304447.0</v>
      </c>
      <c r="O213" s="4">
        <v>45748.0</v>
      </c>
      <c r="P213" s="2" t="b">
        <v>1</v>
      </c>
    </row>
    <row r="214">
      <c r="A214" s="2" t="s">
        <v>313</v>
      </c>
      <c r="B214" s="2" t="s">
        <v>27</v>
      </c>
      <c r="C214" s="2" t="s">
        <v>57</v>
      </c>
      <c r="D214" s="2" t="s">
        <v>49</v>
      </c>
      <c r="E214" s="2">
        <v>207.0</v>
      </c>
      <c r="F214" s="3">
        <v>45138.0</v>
      </c>
      <c r="G214" s="3">
        <v>45305.0</v>
      </c>
      <c r="H214" s="11">
        <v>8.0071091E7</v>
      </c>
      <c r="I214" s="2">
        <v>8.1323849E7</v>
      </c>
      <c r="J214" s="2" t="s">
        <v>20</v>
      </c>
      <c r="K214" s="2" t="s">
        <v>21</v>
      </c>
      <c r="L214" s="2">
        <v>67.0</v>
      </c>
      <c r="M214" s="2">
        <v>167.0</v>
      </c>
      <c r="N214" s="11">
        <v>386817.0</v>
      </c>
      <c r="O214" s="4">
        <v>45108.0</v>
      </c>
      <c r="P214" s="2" t="b">
        <v>1</v>
      </c>
    </row>
    <row r="215">
      <c r="A215" s="2" t="s">
        <v>314</v>
      </c>
      <c r="B215" s="2" t="s">
        <v>183</v>
      </c>
      <c r="C215" s="2" t="s">
        <v>57</v>
      </c>
      <c r="D215" s="2" t="s">
        <v>49</v>
      </c>
      <c r="E215" s="2">
        <v>162.0</v>
      </c>
      <c r="F215" s="3">
        <v>45149.0</v>
      </c>
      <c r="G215" s="2" t="s">
        <v>414</v>
      </c>
      <c r="H215" s="11">
        <v>6.5757791E7</v>
      </c>
      <c r="I215" s="2" t="s">
        <v>414</v>
      </c>
      <c r="J215" s="2" t="s">
        <v>41</v>
      </c>
      <c r="K215" s="2" t="s">
        <v>30</v>
      </c>
      <c r="L215" s="2">
        <v>64.0</v>
      </c>
      <c r="N215" s="11">
        <v>405912.0</v>
      </c>
      <c r="O215" s="4">
        <v>45139.0</v>
      </c>
      <c r="P215" s="2" t="b">
        <v>0</v>
      </c>
    </row>
    <row r="216">
      <c r="A216" s="2" t="s">
        <v>315</v>
      </c>
      <c r="B216" s="2" t="s">
        <v>109</v>
      </c>
      <c r="C216" s="2" t="s">
        <v>57</v>
      </c>
      <c r="D216" s="2" t="s">
        <v>29</v>
      </c>
      <c r="E216" s="2">
        <v>3012.0</v>
      </c>
      <c r="F216" s="3">
        <v>45718.0</v>
      </c>
      <c r="G216" s="3">
        <v>45815.0</v>
      </c>
      <c r="H216" s="11">
        <v>4.09769565E8</v>
      </c>
      <c r="I216" s="2">
        <v>4.34438238E8</v>
      </c>
      <c r="J216" s="2" t="s">
        <v>20</v>
      </c>
      <c r="K216" s="2" t="s">
        <v>25</v>
      </c>
      <c r="L216" s="2">
        <v>61.0</v>
      </c>
      <c r="M216" s="2">
        <v>97.0</v>
      </c>
      <c r="N216" s="11">
        <v>136046.0</v>
      </c>
      <c r="O216" s="4">
        <v>45717.0</v>
      </c>
      <c r="P216" s="2" t="b">
        <v>1</v>
      </c>
    </row>
    <row r="217">
      <c r="A217" s="2" t="s">
        <v>316</v>
      </c>
      <c r="B217" s="2" t="s">
        <v>275</v>
      </c>
      <c r="C217" s="2" t="s">
        <v>24</v>
      </c>
      <c r="D217" s="2" t="s">
        <v>37</v>
      </c>
      <c r="E217" s="2">
        <v>331.0</v>
      </c>
      <c r="F217" s="3">
        <v>45827.0</v>
      </c>
      <c r="G217" s="2" t="s">
        <v>414</v>
      </c>
      <c r="H217" s="11">
        <v>5.20851032E8</v>
      </c>
      <c r="I217" s="2" t="s">
        <v>414</v>
      </c>
      <c r="J217" s="2" t="s">
        <v>41</v>
      </c>
      <c r="K217" s="2" t="s">
        <v>73</v>
      </c>
      <c r="L217" s="2">
        <v>147.0</v>
      </c>
      <c r="N217" s="11">
        <v>1573568.0</v>
      </c>
      <c r="O217" s="4">
        <v>45809.0</v>
      </c>
      <c r="P217" s="2" t="b">
        <v>0</v>
      </c>
    </row>
    <row r="218">
      <c r="A218" s="2" t="s">
        <v>317</v>
      </c>
      <c r="B218" s="2" t="s">
        <v>52</v>
      </c>
      <c r="C218" s="2" t="s">
        <v>64</v>
      </c>
      <c r="D218" s="2" t="s">
        <v>67</v>
      </c>
      <c r="E218" s="2">
        <v>45.0</v>
      </c>
      <c r="F218" s="3">
        <v>45253.0</v>
      </c>
      <c r="G218" s="2" t="s">
        <v>414</v>
      </c>
      <c r="H218" s="11">
        <v>1.2894813E7</v>
      </c>
      <c r="I218" s="2" t="s">
        <v>414</v>
      </c>
      <c r="J218" s="2" t="s">
        <v>69</v>
      </c>
      <c r="K218" s="2" t="s">
        <v>73</v>
      </c>
      <c r="L218" s="2">
        <v>52.0</v>
      </c>
      <c r="N218" s="11">
        <v>286551.0</v>
      </c>
      <c r="O218" s="6">
        <v>45231.0</v>
      </c>
      <c r="P218" s="2" t="b">
        <v>0</v>
      </c>
    </row>
    <row r="219">
      <c r="A219" s="2" t="s">
        <v>318</v>
      </c>
      <c r="B219" s="2" t="s">
        <v>111</v>
      </c>
      <c r="C219" s="2" t="s">
        <v>57</v>
      </c>
      <c r="D219" s="2" t="s">
        <v>81</v>
      </c>
      <c r="E219" s="2">
        <v>2374.0</v>
      </c>
      <c r="F219" s="3">
        <v>45805.0</v>
      </c>
      <c r="G219" s="2" t="s">
        <v>414</v>
      </c>
      <c r="H219" s="11">
        <v>5.54215337E8</v>
      </c>
      <c r="I219" s="2" t="s">
        <v>414</v>
      </c>
      <c r="J219" s="2" t="s">
        <v>69</v>
      </c>
      <c r="K219" s="2" t="s">
        <v>25</v>
      </c>
      <c r="L219" s="2">
        <v>110.0</v>
      </c>
      <c r="N219" s="11">
        <v>233452.0</v>
      </c>
      <c r="O219" s="4">
        <v>45778.0</v>
      </c>
      <c r="P219" s="2" t="b">
        <v>0</v>
      </c>
    </row>
    <row r="220">
      <c r="A220" s="2" t="s">
        <v>319</v>
      </c>
      <c r="B220" s="2" t="s">
        <v>284</v>
      </c>
      <c r="C220" s="2" t="s">
        <v>101</v>
      </c>
      <c r="D220" s="2" t="s">
        <v>58</v>
      </c>
      <c r="E220" s="2">
        <v>185.0</v>
      </c>
      <c r="F220" s="3">
        <v>45175.0</v>
      </c>
      <c r="G220" s="3">
        <v>45274.0</v>
      </c>
      <c r="H220" s="11">
        <v>6.0916551E7</v>
      </c>
      <c r="I220" s="2">
        <v>6.503184E7</v>
      </c>
      <c r="J220" s="2" t="s">
        <v>20</v>
      </c>
      <c r="K220" s="2" t="s">
        <v>30</v>
      </c>
      <c r="L220" s="2">
        <v>28.0</v>
      </c>
      <c r="M220" s="2">
        <v>99.0</v>
      </c>
      <c r="N220" s="11">
        <v>329279.0</v>
      </c>
      <c r="O220" s="4">
        <v>45170.0</v>
      </c>
      <c r="P220" s="2" t="b">
        <v>1</v>
      </c>
    </row>
    <row r="221">
      <c r="A221" s="2" t="s">
        <v>320</v>
      </c>
      <c r="B221" s="2" t="s">
        <v>39</v>
      </c>
      <c r="C221" s="2" t="s">
        <v>64</v>
      </c>
      <c r="D221" s="2" t="s">
        <v>72</v>
      </c>
      <c r="E221" s="2">
        <v>193.0</v>
      </c>
      <c r="F221" s="3">
        <v>45616.0</v>
      </c>
      <c r="G221" s="3">
        <v>45641.0</v>
      </c>
      <c r="H221" s="11">
        <v>1.87509734E8</v>
      </c>
      <c r="I221" s="2">
        <v>1.78154147E8</v>
      </c>
      <c r="J221" s="2" t="s">
        <v>20</v>
      </c>
      <c r="K221" s="2" t="s">
        <v>25</v>
      </c>
      <c r="L221" s="2">
        <v>176.0</v>
      </c>
      <c r="M221" s="2">
        <v>25.0</v>
      </c>
      <c r="N221" s="11">
        <v>971553.0</v>
      </c>
      <c r="O221" s="6">
        <v>45597.0</v>
      </c>
      <c r="P221" s="2" t="b">
        <v>1</v>
      </c>
    </row>
    <row r="222">
      <c r="A222" s="2" t="s">
        <v>321</v>
      </c>
      <c r="B222" s="2" t="s">
        <v>106</v>
      </c>
      <c r="C222" s="2" t="s">
        <v>64</v>
      </c>
      <c r="D222" s="2" t="s">
        <v>81</v>
      </c>
      <c r="E222" s="2">
        <v>2111.0</v>
      </c>
      <c r="F222" s="3">
        <v>45906.0</v>
      </c>
      <c r="G222" s="2" t="s">
        <v>414</v>
      </c>
      <c r="H222" s="11">
        <v>6.9813568E8</v>
      </c>
      <c r="I222" s="2" t="s">
        <v>414</v>
      </c>
      <c r="J222" s="2" t="s">
        <v>41</v>
      </c>
      <c r="K222" s="2" t="s">
        <v>21</v>
      </c>
      <c r="L222" s="2">
        <v>127.0</v>
      </c>
      <c r="N222" s="11">
        <v>330713.0</v>
      </c>
      <c r="O222" s="4">
        <v>45901.0</v>
      </c>
      <c r="P222" s="2" t="b">
        <v>0</v>
      </c>
    </row>
    <row r="223">
      <c r="A223" s="2" t="s">
        <v>322</v>
      </c>
      <c r="B223" s="2" t="s">
        <v>323</v>
      </c>
      <c r="C223" s="2" t="s">
        <v>93</v>
      </c>
      <c r="D223" s="2" t="s">
        <v>29</v>
      </c>
      <c r="E223" s="2">
        <v>2075.0</v>
      </c>
      <c r="F223" s="3">
        <v>45492.0</v>
      </c>
      <c r="G223" s="3">
        <v>45579.0</v>
      </c>
      <c r="H223" s="11">
        <v>2.80759398E8</v>
      </c>
      <c r="I223" s="2">
        <v>2.82271012E8</v>
      </c>
      <c r="J223" s="2" t="s">
        <v>20</v>
      </c>
      <c r="K223" s="2" t="s">
        <v>30</v>
      </c>
      <c r="L223" s="2">
        <v>83.0</v>
      </c>
      <c r="M223" s="2">
        <v>87.0</v>
      </c>
      <c r="N223" s="11">
        <v>135306.0</v>
      </c>
      <c r="O223" s="4">
        <v>45474.0</v>
      </c>
      <c r="P223" s="2" t="b">
        <v>1</v>
      </c>
    </row>
    <row r="224">
      <c r="A224" s="2" t="s">
        <v>324</v>
      </c>
      <c r="B224" s="2" t="s">
        <v>153</v>
      </c>
      <c r="C224" s="2" t="s">
        <v>24</v>
      </c>
      <c r="D224" s="2" t="s">
        <v>58</v>
      </c>
      <c r="E224" s="2">
        <v>275.0</v>
      </c>
      <c r="F224" s="3">
        <v>45027.0</v>
      </c>
      <c r="G224" s="2" t="s">
        <v>414</v>
      </c>
      <c r="H224" s="11">
        <v>2.04056671E8</v>
      </c>
      <c r="I224" s="2" t="s">
        <v>414</v>
      </c>
      <c r="J224" s="2" t="s">
        <v>34</v>
      </c>
      <c r="K224" s="2" t="s">
        <v>30</v>
      </c>
      <c r="L224" s="2">
        <v>57.0</v>
      </c>
      <c r="N224" s="11">
        <v>742024.0</v>
      </c>
      <c r="O224" s="4">
        <v>45017.0</v>
      </c>
      <c r="P224" s="2" t="b">
        <v>0</v>
      </c>
    </row>
    <row r="225">
      <c r="A225" s="2" t="s">
        <v>325</v>
      </c>
      <c r="B225" s="2" t="s">
        <v>135</v>
      </c>
      <c r="C225" s="2" t="s">
        <v>24</v>
      </c>
      <c r="D225" s="2" t="s">
        <v>49</v>
      </c>
      <c r="E225" s="2">
        <v>61.0</v>
      </c>
      <c r="F225" s="3">
        <v>45686.0</v>
      </c>
      <c r="G225" s="3">
        <v>45767.0</v>
      </c>
      <c r="H225" s="11">
        <v>5.9469229E7</v>
      </c>
      <c r="I225" s="2">
        <v>6.0268798E7</v>
      </c>
      <c r="J225" s="2" t="s">
        <v>20</v>
      </c>
      <c r="K225" s="2" t="s">
        <v>73</v>
      </c>
      <c r="L225" s="2">
        <v>80.0</v>
      </c>
      <c r="M225" s="2">
        <v>81.0</v>
      </c>
      <c r="N225" s="11">
        <v>974905.0</v>
      </c>
      <c r="O225" s="4">
        <v>45658.0</v>
      </c>
      <c r="P225" s="2" t="b">
        <v>1</v>
      </c>
    </row>
    <row r="226">
      <c r="A226" s="2" t="s">
        <v>326</v>
      </c>
      <c r="B226" s="2" t="s">
        <v>52</v>
      </c>
      <c r="C226" s="2" t="s">
        <v>28</v>
      </c>
      <c r="D226" s="2" t="s">
        <v>67</v>
      </c>
      <c r="E226" s="2">
        <v>32.0</v>
      </c>
      <c r="F226" s="3">
        <v>45780.0</v>
      </c>
      <c r="G226" s="3">
        <v>45935.0</v>
      </c>
      <c r="H226" s="11">
        <v>2.1169494E7</v>
      </c>
      <c r="I226" s="2">
        <v>2.1795591E7</v>
      </c>
      <c r="J226" s="2" t="s">
        <v>20</v>
      </c>
      <c r="K226" s="2" t="s">
        <v>30</v>
      </c>
      <c r="L226" s="2">
        <v>130.0</v>
      </c>
      <c r="M226" s="2">
        <v>155.0</v>
      </c>
      <c r="N226" s="11">
        <v>661547.0</v>
      </c>
      <c r="O226" s="4">
        <v>45778.0</v>
      </c>
      <c r="P226" s="2" t="b">
        <v>1</v>
      </c>
    </row>
    <row r="227">
      <c r="A227" s="2" t="s">
        <v>327</v>
      </c>
      <c r="B227" s="2" t="s">
        <v>71</v>
      </c>
      <c r="C227" s="2" t="s">
        <v>101</v>
      </c>
      <c r="D227" s="2" t="s">
        <v>81</v>
      </c>
      <c r="E227" s="2">
        <v>4175.0</v>
      </c>
      <c r="F227" s="3">
        <v>45741.0</v>
      </c>
      <c r="G227" s="3">
        <v>45791.0</v>
      </c>
      <c r="H227" s="11">
        <v>7.69771122E8</v>
      </c>
      <c r="I227" s="2">
        <v>7.6833212E8</v>
      </c>
      <c r="J227" s="2" t="s">
        <v>20</v>
      </c>
      <c r="K227" s="2" t="s">
        <v>25</v>
      </c>
      <c r="L227" s="2">
        <v>169.0</v>
      </c>
      <c r="M227" s="2">
        <v>50.0</v>
      </c>
      <c r="N227" s="11">
        <v>184376.0</v>
      </c>
      <c r="O227" s="4">
        <v>45717.0</v>
      </c>
      <c r="P227" s="2" t="b">
        <v>1</v>
      </c>
    </row>
    <row r="228">
      <c r="A228" s="2" t="s">
        <v>328</v>
      </c>
      <c r="B228" s="2" t="s">
        <v>56</v>
      </c>
      <c r="C228" s="2" t="s">
        <v>101</v>
      </c>
      <c r="D228" s="2" t="s">
        <v>58</v>
      </c>
      <c r="E228" s="2">
        <v>58.0</v>
      </c>
      <c r="F228" s="3">
        <v>44976.0</v>
      </c>
      <c r="G228" s="2" t="s">
        <v>414</v>
      </c>
      <c r="H228" s="11">
        <v>1.5589471E7</v>
      </c>
      <c r="I228" s="2" t="s">
        <v>414</v>
      </c>
      <c r="J228" s="2" t="s">
        <v>69</v>
      </c>
      <c r="K228" s="2" t="s">
        <v>42</v>
      </c>
      <c r="L228" s="2">
        <v>22.0</v>
      </c>
      <c r="N228" s="11">
        <v>268784.0</v>
      </c>
      <c r="O228" s="4">
        <v>44958.0</v>
      </c>
      <c r="P228" s="2" t="b">
        <v>0</v>
      </c>
    </row>
    <row r="229">
      <c r="A229" s="2" t="s">
        <v>329</v>
      </c>
      <c r="B229" s="2" t="s">
        <v>66</v>
      </c>
      <c r="C229" s="2" t="s">
        <v>18</v>
      </c>
      <c r="D229" s="2" t="s">
        <v>19</v>
      </c>
      <c r="E229" s="2">
        <v>46.0</v>
      </c>
      <c r="F229" s="3">
        <v>45309.0</v>
      </c>
      <c r="G229" s="3">
        <v>45487.0</v>
      </c>
      <c r="H229" s="11">
        <v>1.2225652E7</v>
      </c>
      <c r="I229" s="2">
        <v>1.2453576E7</v>
      </c>
      <c r="J229" s="2" t="s">
        <v>20</v>
      </c>
      <c r="K229" s="2" t="s">
        <v>73</v>
      </c>
      <c r="L229" s="2">
        <v>173.0</v>
      </c>
      <c r="M229" s="2">
        <v>178.0</v>
      </c>
      <c r="N229" s="11">
        <v>265775.0</v>
      </c>
      <c r="O229" s="4">
        <v>45292.0</v>
      </c>
      <c r="P229" s="2" t="b">
        <v>1</v>
      </c>
    </row>
    <row r="230">
      <c r="A230" s="2" t="s">
        <v>330</v>
      </c>
      <c r="B230" s="2" t="s">
        <v>66</v>
      </c>
      <c r="C230" s="2" t="s">
        <v>64</v>
      </c>
      <c r="D230" s="2" t="s">
        <v>19</v>
      </c>
      <c r="E230" s="2">
        <v>57.0</v>
      </c>
      <c r="F230" s="3">
        <v>44939.0</v>
      </c>
      <c r="G230" s="3">
        <v>45138.0</v>
      </c>
      <c r="H230" s="11">
        <v>2.0928138E7</v>
      </c>
      <c r="I230" s="2">
        <v>2.2526978E7</v>
      </c>
      <c r="J230" s="2" t="s">
        <v>20</v>
      </c>
      <c r="K230" s="2" t="s">
        <v>21</v>
      </c>
      <c r="L230" s="2">
        <v>133.0</v>
      </c>
      <c r="M230" s="2">
        <v>199.0</v>
      </c>
      <c r="N230" s="11">
        <v>367160.0</v>
      </c>
      <c r="O230" s="4">
        <v>44927.0</v>
      </c>
      <c r="P230" s="2" t="b">
        <v>1</v>
      </c>
    </row>
    <row r="231">
      <c r="A231" s="2" t="s">
        <v>331</v>
      </c>
      <c r="B231" s="2" t="s">
        <v>173</v>
      </c>
      <c r="C231" s="2" t="s">
        <v>57</v>
      </c>
      <c r="D231" s="2" t="s">
        <v>49</v>
      </c>
      <c r="E231" s="2">
        <v>256.0</v>
      </c>
      <c r="F231" s="3">
        <v>45867.0</v>
      </c>
      <c r="G231" s="3">
        <v>45920.0</v>
      </c>
      <c r="H231" s="11">
        <v>1.08539293E8</v>
      </c>
      <c r="I231" s="2">
        <v>1.10619441E8</v>
      </c>
      <c r="J231" s="2" t="s">
        <v>20</v>
      </c>
      <c r="K231" s="2" t="s">
        <v>30</v>
      </c>
      <c r="L231" s="2">
        <v>95.0</v>
      </c>
      <c r="M231" s="2">
        <v>53.0</v>
      </c>
      <c r="N231" s="11">
        <v>423982.0</v>
      </c>
      <c r="O231" s="4">
        <v>45839.0</v>
      </c>
      <c r="P231" s="2" t="b">
        <v>1</v>
      </c>
    </row>
    <row r="232">
      <c r="A232" s="2" t="s">
        <v>332</v>
      </c>
      <c r="B232" s="2" t="s">
        <v>123</v>
      </c>
      <c r="C232" s="2" t="s">
        <v>24</v>
      </c>
      <c r="D232" s="2" t="s">
        <v>49</v>
      </c>
      <c r="E232" s="2">
        <v>70.0</v>
      </c>
      <c r="F232" s="3">
        <v>45397.0</v>
      </c>
      <c r="G232" s="3">
        <v>45590.0</v>
      </c>
      <c r="H232" s="11">
        <v>5.9899842E7</v>
      </c>
      <c r="I232" s="2">
        <v>6.1663692E7</v>
      </c>
      <c r="J232" s="2" t="s">
        <v>20</v>
      </c>
      <c r="K232" s="2" t="s">
        <v>21</v>
      </c>
      <c r="L232" s="2">
        <v>172.0</v>
      </c>
      <c r="M232" s="2">
        <v>193.0</v>
      </c>
      <c r="N232" s="11">
        <v>855712.0</v>
      </c>
      <c r="O232" s="4">
        <v>45383.0</v>
      </c>
      <c r="P232" s="2" t="b">
        <v>1</v>
      </c>
    </row>
    <row r="233">
      <c r="A233" s="2" t="s">
        <v>333</v>
      </c>
      <c r="B233" s="2" t="s">
        <v>119</v>
      </c>
      <c r="C233" s="2" t="s">
        <v>101</v>
      </c>
      <c r="D233" s="2" t="s">
        <v>19</v>
      </c>
      <c r="E233" s="2">
        <v>42.0</v>
      </c>
      <c r="F233" s="3">
        <v>45313.0</v>
      </c>
      <c r="G233" s="3">
        <v>45342.0</v>
      </c>
      <c r="H233" s="11">
        <v>1.0648195E7</v>
      </c>
      <c r="I233" s="2">
        <v>1.0993784E7</v>
      </c>
      <c r="J233" s="2" t="s">
        <v>20</v>
      </c>
      <c r="K233" s="2" t="s">
        <v>21</v>
      </c>
      <c r="L233" s="2">
        <v>132.0</v>
      </c>
      <c r="M233" s="2">
        <v>29.0</v>
      </c>
      <c r="N233" s="11">
        <v>253528.0</v>
      </c>
      <c r="O233" s="4">
        <v>45292.0</v>
      </c>
      <c r="P233" s="2" t="b">
        <v>1</v>
      </c>
    </row>
    <row r="234">
      <c r="A234" s="2" t="s">
        <v>334</v>
      </c>
      <c r="B234" s="2" t="s">
        <v>86</v>
      </c>
      <c r="C234" s="2" t="s">
        <v>40</v>
      </c>
      <c r="D234" s="2" t="s">
        <v>67</v>
      </c>
      <c r="E234" s="2">
        <v>43.0</v>
      </c>
      <c r="F234" s="3">
        <v>45868.0</v>
      </c>
      <c r="G234" s="3">
        <v>45937.0</v>
      </c>
      <c r="H234" s="11">
        <v>9109081.0</v>
      </c>
      <c r="I234" s="2">
        <v>9389331.0</v>
      </c>
      <c r="J234" s="2" t="s">
        <v>20</v>
      </c>
      <c r="K234" s="2" t="s">
        <v>25</v>
      </c>
      <c r="L234" s="2">
        <v>126.0</v>
      </c>
      <c r="M234" s="2">
        <v>69.0</v>
      </c>
      <c r="N234" s="11">
        <v>211839.0</v>
      </c>
      <c r="O234" s="4">
        <v>45839.0</v>
      </c>
      <c r="P234" s="2" t="b">
        <v>1</v>
      </c>
    </row>
    <row r="235">
      <c r="A235" s="2" t="s">
        <v>335</v>
      </c>
      <c r="B235" s="2" t="s">
        <v>63</v>
      </c>
      <c r="C235" s="2" t="s">
        <v>24</v>
      </c>
      <c r="D235" s="2" t="s">
        <v>33</v>
      </c>
      <c r="E235" s="2">
        <v>108.0</v>
      </c>
      <c r="F235" s="3">
        <v>45504.0</v>
      </c>
      <c r="G235" s="3">
        <v>45564.0</v>
      </c>
      <c r="H235" s="11">
        <v>8.5749759E7</v>
      </c>
      <c r="I235" s="2">
        <v>8.3204496E7</v>
      </c>
      <c r="J235" s="2" t="s">
        <v>20</v>
      </c>
      <c r="K235" s="2" t="s">
        <v>42</v>
      </c>
      <c r="L235" s="2">
        <v>155.0</v>
      </c>
      <c r="M235" s="2">
        <v>60.0</v>
      </c>
      <c r="N235" s="11">
        <v>793979.0</v>
      </c>
      <c r="O235" s="4">
        <v>45474.0</v>
      </c>
      <c r="P235" s="2" t="b">
        <v>1</v>
      </c>
    </row>
    <row r="236">
      <c r="A236" s="2" t="s">
        <v>336</v>
      </c>
      <c r="B236" s="2" t="s">
        <v>99</v>
      </c>
      <c r="C236" s="2" t="s">
        <v>28</v>
      </c>
      <c r="D236" s="2" t="s">
        <v>49</v>
      </c>
      <c r="E236" s="2">
        <v>287.0</v>
      </c>
      <c r="F236" s="3">
        <v>45093.0</v>
      </c>
      <c r="G236" s="3">
        <v>45253.0</v>
      </c>
      <c r="H236" s="11">
        <v>4.04323782E8</v>
      </c>
      <c r="I236" s="2">
        <v>3.97153122E8</v>
      </c>
      <c r="J236" s="2" t="s">
        <v>20</v>
      </c>
      <c r="K236" s="2" t="s">
        <v>25</v>
      </c>
      <c r="L236" s="2">
        <v>89.0</v>
      </c>
      <c r="M236" s="2">
        <v>160.0</v>
      </c>
      <c r="N236" s="11">
        <v>1408794.0</v>
      </c>
      <c r="O236" s="4">
        <v>45078.0</v>
      </c>
      <c r="P236" s="2" t="b">
        <v>1</v>
      </c>
    </row>
    <row r="237">
      <c r="A237" s="2" t="s">
        <v>337</v>
      </c>
      <c r="B237" s="2" t="s">
        <v>165</v>
      </c>
      <c r="C237" s="2" t="s">
        <v>24</v>
      </c>
      <c r="D237" s="2" t="s">
        <v>102</v>
      </c>
      <c r="E237" s="2">
        <v>110.0</v>
      </c>
      <c r="F237" s="3">
        <v>45924.0</v>
      </c>
      <c r="G237" s="3">
        <v>45964.0</v>
      </c>
      <c r="H237" s="11">
        <v>9.1594655E7</v>
      </c>
      <c r="I237" s="2">
        <v>9.6557981E7</v>
      </c>
      <c r="J237" s="2" t="s">
        <v>20</v>
      </c>
      <c r="K237" s="2" t="s">
        <v>30</v>
      </c>
      <c r="L237" s="2">
        <v>159.0</v>
      </c>
      <c r="M237" s="2">
        <v>40.0</v>
      </c>
      <c r="N237" s="11">
        <v>832679.0</v>
      </c>
      <c r="O237" s="4">
        <v>45901.0</v>
      </c>
      <c r="P237" s="2" t="b">
        <v>1</v>
      </c>
    </row>
    <row r="238">
      <c r="A238" s="2" t="s">
        <v>338</v>
      </c>
      <c r="B238" s="2" t="s">
        <v>54</v>
      </c>
      <c r="C238" s="2" t="s">
        <v>57</v>
      </c>
      <c r="D238" s="2" t="s">
        <v>29</v>
      </c>
      <c r="E238" s="2">
        <v>3649.0</v>
      </c>
      <c r="F238" s="3">
        <v>45576.0</v>
      </c>
      <c r="G238" s="3">
        <v>45706.0</v>
      </c>
      <c r="H238" s="11">
        <v>5.49753811E8</v>
      </c>
      <c r="I238" s="2">
        <v>5.37070876E8</v>
      </c>
      <c r="J238" s="2" t="s">
        <v>20</v>
      </c>
      <c r="K238" s="2" t="s">
        <v>73</v>
      </c>
      <c r="L238" s="2">
        <v>115.0</v>
      </c>
      <c r="M238" s="2">
        <v>130.0</v>
      </c>
      <c r="N238" s="11">
        <v>150659.0</v>
      </c>
      <c r="O238" s="6">
        <v>45566.0</v>
      </c>
      <c r="P238" s="2" t="b">
        <v>1</v>
      </c>
    </row>
    <row r="239">
      <c r="A239" s="2" t="s">
        <v>339</v>
      </c>
      <c r="B239" s="2" t="s">
        <v>86</v>
      </c>
      <c r="C239" s="2" t="s">
        <v>28</v>
      </c>
      <c r="D239" s="2" t="s">
        <v>29</v>
      </c>
      <c r="E239" s="2">
        <v>3513.0</v>
      </c>
      <c r="F239" s="3">
        <v>45229.0</v>
      </c>
      <c r="G239" s="2" t="s">
        <v>414</v>
      </c>
      <c r="H239" s="11">
        <v>1.181673158E9</v>
      </c>
      <c r="I239" s="2" t="s">
        <v>414</v>
      </c>
      <c r="J239" s="2" t="s">
        <v>34</v>
      </c>
      <c r="K239" s="2" t="s">
        <v>30</v>
      </c>
      <c r="L239" s="2">
        <v>44.0</v>
      </c>
      <c r="N239" s="11">
        <v>336372.0</v>
      </c>
      <c r="O239" s="6">
        <v>45200.0</v>
      </c>
      <c r="P239" s="2" t="b">
        <v>0</v>
      </c>
    </row>
    <row r="240">
      <c r="A240" s="2" t="s">
        <v>340</v>
      </c>
      <c r="B240" s="2" t="s">
        <v>106</v>
      </c>
      <c r="C240" s="2" t="s">
        <v>24</v>
      </c>
      <c r="D240" s="2" t="s">
        <v>102</v>
      </c>
      <c r="E240" s="2">
        <v>149.0</v>
      </c>
      <c r="F240" s="3">
        <v>45036.0</v>
      </c>
      <c r="G240" s="3">
        <v>45129.0</v>
      </c>
      <c r="H240" s="11">
        <v>1.24439459E8</v>
      </c>
      <c r="I240" s="2">
        <v>1.29642949E8</v>
      </c>
      <c r="J240" s="2" t="s">
        <v>20</v>
      </c>
      <c r="K240" s="2" t="s">
        <v>21</v>
      </c>
      <c r="L240" s="2">
        <v>38.0</v>
      </c>
      <c r="M240" s="2">
        <v>93.0</v>
      </c>
      <c r="N240" s="11">
        <v>835164.0</v>
      </c>
      <c r="O240" s="4">
        <v>45017.0</v>
      </c>
      <c r="P240" s="2" t="b">
        <v>1</v>
      </c>
    </row>
    <row r="241">
      <c r="A241" s="2" t="s">
        <v>341</v>
      </c>
      <c r="B241" s="2" t="s">
        <v>275</v>
      </c>
      <c r="C241" s="2" t="s">
        <v>28</v>
      </c>
      <c r="D241" s="2" t="s">
        <v>49</v>
      </c>
      <c r="E241" s="2">
        <v>164.0</v>
      </c>
      <c r="F241" s="3">
        <v>45451.0</v>
      </c>
      <c r="G241" s="3">
        <v>45472.0</v>
      </c>
      <c r="H241" s="11">
        <v>1.72882005E8</v>
      </c>
      <c r="I241" s="2">
        <v>1.74381785E8</v>
      </c>
      <c r="J241" s="2" t="s">
        <v>20</v>
      </c>
      <c r="K241" s="2" t="s">
        <v>25</v>
      </c>
      <c r="L241" s="2">
        <v>158.0</v>
      </c>
      <c r="M241" s="2">
        <v>21.0</v>
      </c>
      <c r="N241" s="11">
        <v>1054159.0</v>
      </c>
      <c r="O241" s="4">
        <v>45444.0</v>
      </c>
      <c r="P241" s="2" t="b">
        <v>1</v>
      </c>
    </row>
    <row r="242">
      <c r="A242" s="2" t="s">
        <v>342</v>
      </c>
      <c r="B242" s="2" t="s">
        <v>39</v>
      </c>
      <c r="C242" s="2" t="s">
        <v>57</v>
      </c>
      <c r="D242" s="2" t="s">
        <v>49</v>
      </c>
      <c r="E242" s="2">
        <v>53.0</v>
      </c>
      <c r="F242" s="3">
        <v>45324.0</v>
      </c>
      <c r="G242" s="2" t="s">
        <v>414</v>
      </c>
      <c r="H242" s="11">
        <v>2.8741029E7</v>
      </c>
      <c r="I242" s="2" t="s">
        <v>414</v>
      </c>
      <c r="J242" s="2" t="s">
        <v>34</v>
      </c>
      <c r="K242" s="2" t="s">
        <v>42</v>
      </c>
      <c r="L242" s="2">
        <v>151.0</v>
      </c>
      <c r="N242" s="11">
        <v>542284.0</v>
      </c>
      <c r="O242" s="4">
        <v>45323.0</v>
      </c>
      <c r="P242" s="2" t="b">
        <v>0</v>
      </c>
    </row>
    <row r="243">
      <c r="A243" s="2" t="s">
        <v>343</v>
      </c>
      <c r="B243" s="2" t="s">
        <v>160</v>
      </c>
      <c r="C243" s="2" t="s">
        <v>64</v>
      </c>
      <c r="D243" s="2" t="s">
        <v>49</v>
      </c>
      <c r="E243" s="2">
        <v>93.0</v>
      </c>
      <c r="F243" s="3">
        <v>45235.0</v>
      </c>
      <c r="G243" s="3">
        <v>45287.0</v>
      </c>
      <c r="H243" s="11">
        <v>5.1284228E7</v>
      </c>
      <c r="I243" s="2">
        <v>5.0748215E7</v>
      </c>
      <c r="J243" s="2" t="s">
        <v>20</v>
      </c>
      <c r="K243" s="2" t="s">
        <v>73</v>
      </c>
      <c r="L243" s="2">
        <v>81.0</v>
      </c>
      <c r="M243" s="2">
        <v>52.0</v>
      </c>
      <c r="N243" s="11">
        <v>551443.0</v>
      </c>
      <c r="O243" s="6">
        <v>45231.0</v>
      </c>
      <c r="P243" s="2" t="b">
        <v>1</v>
      </c>
    </row>
    <row r="244">
      <c r="A244" s="2" t="s">
        <v>344</v>
      </c>
      <c r="B244" s="2" t="s">
        <v>17</v>
      </c>
      <c r="C244" s="2" t="s">
        <v>64</v>
      </c>
      <c r="D244" s="2" t="s">
        <v>33</v>
      </c>
      <c r="E244" s="2">
        <v>88.0</v>
      </c>
      <c r="F244" s="3">
        <v>45665.0</v>
      </c>
      <c r="G244" s="3">
        <v>45832.0</v>
      </c>
      <c r="H244" s="11">
        <v>4.3428033E7</v>
      </c>
      <c r="I244" s="2">
        <v>4.3135235E7</v>
      </c>
      <c r="J244" s="2" t="s">
        <v>20</v>
      </c>
      <c r="K244" s="2" t="s">
        <v>42</v>
      </c>
      <c r="L244" s="2">
        <v>82.0</v>
      </c>
      <c r="M244" s="2">
        <v>167.0</v>
      </c>
      <c r="N244" s="11">
        <v>493500.0</v>
      </c>
      <c r="O244" s="4">
        <v>45658.0</v>
      </c>
      <c r="P244" s="2" t="b">
        <v>1</v>
      </c>
    </row>
    <row r="245">
      <c r="A245" s="2" t="s">
        <v>345</v>
      </c>
      <c r="B245" s="2" t="s">
        <v>208</v>
      </c>
      <c r="C245" s="2" t="s">
        <v>28</v>
      </c>
      <c r="D245" s="2" t="s">
        <v>49</v>
      </c>
      <c r="E245" s="2">
        <v>135.0</v>
      </c>
      <c r="F245" s="3">
        <v>45750.0</v>
      </c>
      <c r="G245" s="2" t="s">
        <v>414</v>
      </c>
      <c r="H245" s="11">
        <v>1.58062649E8</v>
      </c>
      <c r="I245" s="2" t="s">
        <v>414</v>
      </c>
      <c r="J245" s="2" t="s">
        <v>69</v>
      </c>
      <c r="K245" s="2" t="s">
        <v>25</v>
      </c>
      <c r="L245" s="2">
        <v>39.0</v>
      </c>
      <c r="N245" s="11">
        <v>1170834.0</v>
      </c>
      <c r="O245" s="4">
        <v>45748.0</v>
      </c>
      <c r="P245" s="2" t="b">
        <v>0</v>
      </c>
    </row>
    <row r="246">
      <c r="A246" s="2" t="s">
        <v>346</v>
      </c>
      <c r="B246" s="2" t="s">
        <v>95</v>
      </c>
      <c r="C246" s="2" t="s">
        <v>24</v>
      </c>
      <c r="D246" s="2" t="s">
        <v>29</v>
      </c>
      <c r="E246" s="2">
        <v>2045.0</v>
      </c>
      <c r="F246" s="3">
        <v>45108.0</v>
      </c>
      <c r="G246" s="2" t="s">
        <v>414</v>
      </c>
      <c r="H246" s="11">
        <v>5.78171466E8</v>
      </c>
      <c r="I246" s="2" t="s">
        <v>414</v>
      </c>
      <c r="J246" s="2" t="s">
        <v>69</v>
      </c>
      <c r="K246" s="2" t="s">
        <v>73</v>
      </c>
      <c r="L246" s="2">
        <v>152.0</v>
      </c>
      <c r="N246" s="11">
        <v>282724.0</v>
      </c>
      <c r="O246" s="4">
        <v>45108.0</v>
      </c>
      <c r="P246" s="2" t="b">
        <v>0</v>
      </c>
    </row>
    <row r="247">
      <c r="A247" s="2" t="s">
        <v>347</v>
      </c>
      <c r="B247" s="2" t="s">
        <v>39</v>
      </c>
      <c r="C247" s="2" t="s">
        <v>57</v>
      </c>
      <c r="D247" s="2" t="s">
        <v>67</v>
      </c>
      <c r="E247" s="2">
        <v>37.0</v>
      </c>
      <c r="F247" s="3">
        <v>45300.0</v>
      </c>
      <c r="G247" s="3">
        <v>45459.0</v>
      </c>
      <c r="H247" s="11">
        <v>7707177.0</v>
      </c>
      <c r="I247" s="2">
        <v>8320378.0</v>
      </c>
      <c r="J247" s="2" t="s">
        <v>20</v>
      </c>
      <c r="K247" s="2" t="s">
        <v>42</v>
      </c>
      <c r="L247" s="2">
        <v>179.0</v>
      </c>
      <c r="M247" s="2">
        <v>159.0</v>
      </c>
      <c r="N247" s="11">
        <v>208302.0</v>
      </c>
      <c r="O247" s="4">
        <v>45292.0</v>
      </c>
      <c r="P247" s="2" t="b">
        <v>1</v>
      </c>
    </row>
    <row r="248">
      <c r="A248" s="2" t="s">
        <v>348</v>
      </c>
      <c r="B248" s="2" t="s">
        <v>349</v>
      </c>
      <c r="C248" s="2" t="s">
        <v>57</v>
      </c>
      <c r="D248" s="2" t="s">
        <v>19</v>
      </c>
      <c r="E248" s="2">
        <v>70.0</v>
      </c>
      <c r="F248" s="3">
        <v>45141.0</v>
      </c>
      <c r="G248" s="3">
        <v>45230.0</v>
      </c>
      <c r="H248" s="11">
        <v>2.2515042E7</v>
      </c>
      <c r="I248" s="2">
        <v>2.0962976E7</v>
      </c>
      <c r="J248" s="2" t="s">
        <v>20</v>
      </c>
      <c r="K248" s="2" t="s">
        <v>73</v>
      </c>
      <c r="L248" s="2">
        <v>177.0</v>
      </c>
      <c r="M248" s="2">
        <v>89.0</v>
      </c>
      <c r="N248" s="11">
        <v>321643.0</v>
      </c>
      <c r="O248" s="4">
        <v>45139.0</v>
      </c>
      <c r="P248" s="2" t="b">
        <v>1</v>
      </c>
    </row>
    <row r="249">
      <c r="A249" s="2" t="s">
        <v>350</v>
      </c>
      <c r="B249" s="2" t="s">
        <v>220</v>
      </c>
      <c r="C249" s="2" t="s">
        <v>64</v>
      </c>
      <c r="D249" s="2" t="s">
        <v>37</v>
      </c>
      <c r="E249" s="2">
        <v>423.0</v>
      </c>
      <c r="F249" s="3">
        <v>45084.0</v>
      </c>
      <c r="G249" s="2" t="s">
        <v>414</v>
      </c>
      <c r="H249" s="11">
        <v>3.68344251E8</v>
      </c>
      <c r="I249" s="2" t="s">
        <v>414</v>
      </c>
      <c r="J249" s="2" t="s">
        <v>69</v>
      </c>
      <c r="K249" s="2" t="s">
        <v>25</v>
      </c>
      <c r="L249" s="2">
        <v>127.0</v>
      </c>
      <c r="N249" s="11">
        <v>870790.0</v>
      </c>
      <c r="O249" s="4">
        <v>45078.0</v>
      </c>
      <c r="P249" s="2" t="b">
        <v>0</v>
      </c>
    </row>
    <row r="250">
      <c r="A250" s="2" t="s">
        <v>351</v>
      </c>
      <c r="B250" s="2" t="s">
        <v>52</v>
      </c>
      <c r="C250" s="2" t="s">
        <v>64</v>
      </c>
      <c r="D250" s="2" t="s">
        <v>58</v>
      </c>
      <c r="E250" s="2">
        <v>179.0</v>
      </c>
      <c r="F250" s="3">
        <v>44964.0</v>
      </c>
      <c r="G250" s="2" t="s">
        <v>414</v>
      </c>
      <c r="H250" s="11">
        <v>1.00181572E8</v>
      </c>
      <c r="I250" s="2" t="s">
        <v>414</v>
      </c>
      <c r="J250" s="2" t="s">
        <v>69</v>
      </c>
      <c r="K250" s="2" t="s">
        <v>25</v>
      </c>
      <c r="L250" s="2">
        <v>157.0</v>
      </c>
      <c r="N250" s="11">
        <v>559674.0</v>
      </c>
      <c r="O250" s="4">
        <v>44958.0</v>
      </c>
      <c r="P250" s="2" t="b">
        <v>0</v>
      </c>
    </row>
    <row r="251">
      <c r="A251" s="2" t="s">
        <v>352</v>
      </c>
      <c r="B251" s="2" t="s">
        <v>163</v>
      </c>
      <c r="C251" s="2" t="s">
        <v>18</v>
      </c>
      <c r="D251" s="2" t="s">
        <v>33</v>
      </c>
      <c r="E251" s="2">
        <v>71.0</v>
      </c>
      <c r="F251" s="3">
        <v>45607.0</v>
      </c>
      <c r="G251" s="3">
        <v>45787.0</v>
      </c>
      <c r="H251" s="11">
        <v>2.1770014E7</v>
      </c>
      <c r="I251" s="2">
        <v>2.1990223E7</v>
      </c>
      <c r="J251" s="2" t="s">
        <v>20</v>
      </c>
      <c r="K251" s="2" t="s">
        <v>73</v>
      </c>
      <c r="L251" s="2">
        <v>89.0</v>
      </c>
      <c r="M251" s="2">
        <v>180.0</v>
      </c>
      <c r="N251" s="11">
        <v>306620.0</v>
      </c>
      <c r="O251" s="6">
        <v>45597.0</v>
      </c>
      <c r="P251" s="2" t="b">
        <v>1</v>
      </c>
    </row>
    <row r="252">
      <c r="A252" s="2" t="s">
        <v>353</v>
      </c>
      <c r="B252" s="2" t="s">
        <v>117</v>
      </c>
      <c r="C252" s="2" t="s">
        <v>101</v>
      </c>
      <c r="D252" s="2" t="s">
        <v>49</v>
      </c>
      <c r="E252" s="2">
        <v>77.0</v>
      </c>
      <c r="F252" s="3">
        <v>45191.0</v>
      </c>
      <c r="G252" s="3">
        <v>45397.0</v>
      </c>
      <c r="H252" s="11">
        <v>3.0780151E7</v>
      </c>
      <c r="I252" s="2">
        <v>3.1176689E7</v>
      </c>
      <c r="J252" s="2" t="s">
        <v>20</v>
      </c>
      <c r="K252" s="2" t="s">
        <v>25</v>
      </c>
      <c r="L252" s="2">
        <v>61.0</v>
      </c>
      <c r="M252" s="2">
        <v>206.0</v>
      </c>
      <c r="N252" s="11">
        <v>399742.0</v>
      </c>
      <c r="O252" s="4">
        <v>45170.0</v>
      </c>
      <c r="P252" s="2" t="b">
        <v>1</v>
      </c>
    </row>
    <row r="253">
      <c r="A253" s="2" t="s">
        <v>354</v>
      </c>
      <c r="B253" s="2" t="s">
        <v>137</v>
      </c>
      <c r="C253" s="2" t="s">
        <v>24</v>
      </c>
      <c r="D253" s="2" t="s">
        <v>49</v>
      </c>
      <c r="E253" s="2">
        <v>168.0</v>
      </c>
      <c r="F253" s="3">
        <v>45439.0</v>
      </c>
      <c r="G253" s="3">
        <v>45460.0</v>
      </c>
      <c r="H253" s="11">
        <v>1.59470417E8</v>
      </c>
      <c r="I253" s="2">
        <v>1.54250815E8</v>
      </c>
      <c r="J253" s="2" t="s">
        <v>20</v>
      </c>
      <c r="K253" s="2" t="s">
        <v>21</v>
      </c>
      <c r="L253" s="2">
        <v>34.0</v>
      </c>
      <c r="M253" s="2">
        <v>21.0</v>
      </c>
      <c r="N253" s="11">
        <v>949229.0</v>
      </c>
      <c r="O253" s="4">
        <v>45413.0</v>
      </c>
      <c r="P253" s="2" t="b">
        <v>1</v>
      </c>
    </row>
    <row r="254">
      <c r="A254" s="2" t="s">
        <v>355</v>
      </c>
      <c r="B254" s="2" t="s">
        <v>256</v>
      </c>
      <c r="C254" s="2" t="s">
        <v>40</v>
      </c>
      <c r="D254" s="2" t="s">
        <v>102</v>
      </c>
      <c r="E254" s="2">
        <v>144.0</v>
      </c>
      <c r="F254" s="3">
        <v>45393.0</v>
      </c>
      <c r="G254" s="2" t="s">
        <v>414</v>
      </c>
      <c r="H254" s="11">
        <v>4.6942667E7</v>
      </c>
      <c r="I254" s="2" t="s">
        <v>414</v>
      </c>
      <c r="J254" s="2" t="s">
        <v>34</v>
      </c>
      <c r="K254" s="2" t="s">
        <v>73</v>
      </c>
      <c r="L254" s="2">
        <v>29.0</v>
      </c>
      <c r="N254" s="11">
        <v>325991.0</v>
      </c>
      <c r="O254" s="4">
        <v>45383.0</v>
      </c>
      <c r="P254" s="2" t="b">
        <v>0</v>
      </c>
    </row>
    <row r="255">
      <c r="A255" s="2" t="s">
        <v>356</v>
      </c>
      <c r="B255" s="2" t="s">
        <v>99</v>
      </c>
      <c r="C255" s="2" t="s">
        <v>24</v>
      </c>
      <c r="D255" s="2" t="s">
        <v>81</v>
      </c>
      <c r="E255" s="2">
        <v>3012.0</v>
      </c>
      <c r="F255" s="3">
        <v>44972.0</v>
      </c>
      <c r="G255" s="2" t="s">
        <v>414</v>
      </c>
      <c r="H255" s="11">
        <v>1.009090113E9</v>
      </c>
      <c r="I255" s="2" t="s">
        <v>414</v>
      </c>
      <c r="J255" s="2" t="s">
        <v>41</v>
      </c>
      <c r="K255" s="2" t="s">
        <v>30</v>
      </c>
      <c r="L255" s="2">
        <v>170.0</v>
      </c>
      <c r="N255" s="11">
        <v>335023.0</v>
      </c>
      <c r="O255" s="4">
        <v>44958.0</v>
      </c>
      <c r="P255" s="2" t="b">
        <v>0</v>
      </c>
    </row>
    <row r="256">
      <c r="A256" s="2" t="s">
        <v>357</v>
      </c>
      <c r="B256" s="2" t="s">
        <v>84</v>
      </c>
      <c r="C256" s="2" t="s">
        <v>28</v>
      </c>
      <c r="D256" s="2" t="s">
        <v>102</v>
      </c>
      <c r="E256" s="2">
        <v>131.0</v>
      </c>
      <c r="F256" s="3">
        <v>45492.0</v>
      </c>
      <c r="G256" s="3">
        <v>45650.0</v>
      </c>
      <c r="H256" s="11">
        <v>1.4204749E8</v>
      </c>
      <c r="I256" s="2">
        <v>1.41185072E8</v>
      </c>
      <c r="J256" s="2" t="s">
        <v>20</v>
      </c>
      <c r="K256" s="2" t="s">
        <v>73</v>
      </c>
      <c r="L256" s="2">
        <v>166.0</v>
      </c>
      <c r="M256" s="2">
        <v>158.0</v>
      </c>
      <c r="N256" s="11">
        <v>1084332.0</v>
      </c>
      <c r="O256" s="4">
        <v>45474.0</v>
      </c>
      <c r="P256" s="2" t="b">
        <v>1</v>
      </c>
    </row>
    <row r="257">
      <c r="A257" s="2" t="s">
        <v>358</v>
      </c>
      <c r="B257" s="2" t="s">
        <v>78</v>
      </c>
      <c r="C257" s="2" t="s">
        <v>28</v>
      </c>
      <c r="D257" s="2" t="s">
        <v>49</v>
      </c>
      <c r="E257" s="2">
        <v>151.0</v>
      </c>
      <c r="F257" s="3">
        <v>45555.0</v>
      </c>
      <c r="G257" s="2" t="s">
        <v>414</v>
      </c>
      <c r="H257" s="11">
        <v>1.95301694E8</v>
      </c>
      <c r="I257" s="2" t="s">
        <v>414</v>
      </c>
      <c r="J257" s="2" t="s">
        <v>69</v>
      </c>
      <c r="K257" s="2" t="s">
        <v>73</v>
      </c>
      <c r="L257" s="2">
        <v>6.0</v>
      </c>
      <c r="N257" s="11">
        <v>1293389.0</v>
      </c>
      <c r="O257" s="4">
        <v>45536.0</v>
      </c>
      <c r="P257" s="2" t="b">
        <v>0</v>
      </c>
    </row>
    <row r="258">
      <c r="A258" s="2" t="s">
        <v>359</v>
      </c>
      <c r="B258" s="2" t="s">
        <v>86</v>
      </c>
      <c r="C258" s="2" t="s">
        <v>18</v>
      </c>
      <c r="D258" s="2" t="s">
        <v>72</v>
      </c>
      <c r="E258" s="2">
        <v>251.0</v>
      </c>
      <c r="F258" s="3">
        <v>45031.0</v>
      </c>
      <c r="G258" s="2" t="s">
        <v>414</v>
      </c>
      <c r="H258" s="11">
        <v>1.16988866E8</v>
      </c>
      <c r="I258" s="2" t="s">
        <v>414</v>
      </c>
      <c r="J258" s="2" t="s">
        <v>34</v>
      </c>
      <c r="K258" s="2" t="s">
        <v>30</v>
      </c>
      <c r="L258" s="2">
        <v>55.0</v>
      </c>
      <c r="N258" s="11">
        <v>466091.0</v>
      </c>
      <c r="O258" s="4">
        <v>45017.0</v>
      </c>
      <c r="P258" s="2" t="b">
        <v>0</v>
      </c>
    </row>
    <row r="259">
      <c r="A259" s="2" t="s">
        <v>360</v>
      </c>
      <c r="B259" s="2" t="s">
        <v>145</v>
      </c>
      <c r="C259" s="2" t="s">
        <v>64</v>
      </c>
      <c r="D259" s="2" t="s">
        <v>37</v>
      </c>
      <c r="E259" s="2">
        <v>643.0</v>
      </c>
      <c r="F259" s="3">
        <v>45916.0</v>
      </c>
      <c r="G259" s="2" t="s">
        <v>414</v>
      </c>
      <c r="H259" s="11">
        <v>6.40042937E8</v>
      </c>
      <c r="I259" s="2">
        <v>6.29038704E8</v>
      </c>
      <c r="J259" s="2" t="s">
        <v>20</v>
      </c>
      <c r="K259" s="2" t="s">
        <v>21</v>
      </c>
      <c r="L259" s="2">
        <v>94.0</v>
      </c>
      <c r="M259" s="2">
        <v>167.0</v>
      </c>
      <c r="N259" s="11">
        <v>995401.0</v>
      </c>
      <c r="O259" s="4">
        <v>45901.0</v>
      </c>
      <c r="P259" s="2" t="b">
        <v>1</v>
      </c>
    </row>
    <row r="260">
      <c r="A260" s="2" t="s">
        <v>361</v>
      </c>
      <c r="B260" s="2" t="s">
        <v>63</v>
      </c>
      <c r="C260" s="2" t="s">
        <v>24</v>
      </c>
      <c r="D260" s="2" t="s">
        <v>81</v>
      </c>
      <c r="E260" s="2">
        <v>1813.0</v>
      </c>
      <c r="F260" s="3">
        <v>45531.0</v>
      </c>
      <c r="G260" s="3">
        <v>45580.0</v>
      </c>
      <c r="H260" s="11">
        <v>6.89587197E8</v>
      </c>
      <c r="I260" s="2">
        <v>6.60742892E8</v>
      </c>
      <c r="J260" s="2" t="s">
        <v>20</v>
      </c>
      <c r="K260" s="2" t="s">
        <v>21</v>
      </c>
      <c r="L260" s="2">
        <v>51.0</v>
      </c>
      <c r="M260" s="2">
        <v>49.0</v>
      </c>
      <c r="N260" s="11">
        <v>380357.0</v>
      </c>
      <c r="O260" s="4">
        <v>45505.0</v>
      </c>
      <c r="P260" s="2" t="b">
        <v>1</v>
      </c>
    </row>
    <row r="261">
      <c r="A261" s="2" t="s">
        <v>362</v>
      </c>
      <c r="B261" s="2" t="s">
        <v>119</v>
      </c>
      <c r="C261" s="2" t="s">
        <v>24</v>
      </c>
      <c r="D261" s="2" t="s">
        <v>102</v>
      </c>
      <c r="E261" s="2">
        <v>165.0</v>
      </c>
      <c r="F261" s="3">
        <v>45537.0</v>
      </c>
      <c r="G261" s="3">
        <v>45650.0</v>
      </c>
      <c r="H261" s="11">
        <v>1.36638579E8</v>
      </c>
      <c r="I261" s="2">
        <v>1.3634716E8</v>
      </c>
      <c r="J261" s="2" t="s">
        <v>20</v>
      </c>
      <c r="K261" s="2" t="s">
        <v>25</v>
      </c>
      <c r="L261" s="2">
        <v>170.0</v>
      </c>
      <c r="M261" s="2">
        <v>113.0</v>
      </c>
      <c r="N261" s="11">
        <v>828113.0</v>
      </c>
      <c r="O261" s="4">
        <v>45536.0</v>
      </c>
      <c r="P261" s="2" t="b">
        <v>1</v>
      </c>
    </row>
    <row r="262">
      <c r="A262" s="2" t="s">
        <v>363</v>
      </c>
      <c r="B262" s="2" t="s">
        <v>284</v>
      </c>
      <c r="C262" s="2" t="s">
        <v>93</v>
      </c>
      <c r="D262" s="2" t="s">
        <v>102</v>
      </c>
      <c r="E262" s="2">
        <v>171.0</v>
      </c>
      <c r="F262" s="3">
        <v>45222.0</v>
      </c>
      <c r="G262" s="3">
        <v>45317.0</v>
      </c>
      <c r="H262" s="11">
        <v>7.610317E7</v>
      </c>
      <c r="I262" s="2">
        <v>7.7557166E7</v>
      </c>
      <c r="J262" s="2" t="s">
        <v>20</v>
      </c>
      <c r="K262" s="2" t="s">
        <v>30</v>
      </c>
      <c r="L262" s="2">
        <v>7.0</v>
      </c>
      <c r="M262" s="2">
        <v>95.0</v>
      </c>
      <c r="N262" s="11">
        <v>445048.0</v>
      </c>
      <c r="O262" s="6">
        <v>45200.0</v>
      </c>
      <c r="P262" s="2" t="b">
        <v>1</v>
      </c>
    </row>
    <row r="263">
      <c r="A263" s="2" t="s">
        <v>364</v>
      </c>
      <c r="B263" s="2" t="s">
        <v>275</v>
      </c>
      <c r="C263" s="2" t="s">
        <v>64</v>
      </c>
      <c r="D263" s="2" t="s">
        <v>72</v>
      </c>
      <c r="E263" s="2">
        <v>278.0</v>
      </c>
      <c r="F263" s="3">
        <v>45595.0</v>
      </c>
      <c r="G263" s="3">
        <v>45785.0</v>
      </c>
      <c r="H263" s="11">
        <v>2.35693733E8</v>
      </c>
      <c r="I263" s="2">
        <v>2.43618411E8</v>
      </c>
      <c r="J263" s="2" t="s">
        <v>20</v>
      </c>
      <c r="K263" s="2" t="s">
        <v>73</v>
      </c>
      <c r="L263" s="2">
        <v>130.0</v>
      </c>
      <c r="M263" s="2">
        <v>190.0</v>
      </c>
      <c r="N263" s="11">
        <v>847819.0</v>
      </c>
      <c r="O263" s="6">
        <v>45566.0</v>
      </c>
      <c r="P263" s="2" t="b">
        <v>1</v>
      </c>
    </row>
    <row r="264">
      <c r="A264" s="2" t="s">
        <v>365</v>
      </c>
      <c r="B264" s="2" t="s">
        <v>111</v>
      </c>
      <c r="C264" s="2" t="s">
        <v>28</v>
      </c>
      <c r="D264" s="2" t="s">
        <v>29</v>
      </c>
      <c r="E264" s="2">
        <v>652.0</v>
      </c>
      <c r="F264" s="3">
        <v>44960.0</v>
      </c>
      <c r="G264" s="3">
        <v>45112.0</v>
      </c>
      <c r="H264" s="11">
        <v>2.40778095E8</v>
      </c>
      <c r="I264" s="2">
        <v>2.51593469E8</v>
      </c>
      <c r="J264" s="2" t="s">
        <v>20</v>
      </c>
      <c r="K264" s="2" t="s">
        <v>25</v>
      </c>
      <c r="L264" s="2">
        <v>131.0</v>
      </c>
      <c r="M264" s="2">
        <v>152.0</v>
      </c>
      <c r="N264" s="11">
        <v>369292.0</v>
      </c>
      <c r="O264" s="4">
        <v>44958.0</v>
      </c>
      <c r="P264" s="2" t="b">
        <v>1</v>
      </c>
    </row>
    <row r="265">
      <c r="A265" s="2" t="s">
        <v>366</v>
      </c>
      <c r="B265" s="2" t="s">
        <v>99</v>
      </c>
      <c r="C265" s="2" t="s">
        <v>64</v>
      </c>
      <c r="D265" s="2" t="s">
        <v>33</v>
      </c>
      <c r="E265" s="2">
        <v>101.0</v>
      </c>
      <c r="F265" s="3">
        <v>45720.0</v>
      </c>
      <c r="G265" s="3">
        <v>45828.0</v>
      </c>
      <c r="H265" s="11">
        <v>4.8486848E7</v>
      </c>
      <c r="I265" s="2">
        <v>5.0478968E7</v>
      </c>
      <c r="J265" s="2" t="s">
        <v>20</v>
      </c>
      <c r="K265" s="2" t="s">
        <v>73</v>
      </c>
      <c r="L265" s="2">
        <v>144.0</v>
      </c>
      <c r="M265" s="2">
        <v>108.0</v>
      </c>
      <c r="N265" s="11">
        <v>480068.0</v>
      </c>
      <c r="O265" s="4">
        <v>45717.0</v>
      </c>
      <c r="P265" s="2" t="b">
        <v>1</v>
      </c>
    </row>
    <row r="266">
      <c r="A266" s="2" t="s">
        <v>367</v>
      </c>
      <c r="B266" s="2" t="s">
        <v>111</v>
      </c>
      <c r="C266" s="2" t="s">
        <v>28</v>
      </c>
      <c r="D266" s="2" t="s">
        <v>49</v>
      </c>
      <c r="E266" s="2">
        <v>76.0</v>
      </c>
      <c r="F266" s="3">
        <v>45822.0</v>
      </c>
      <c r="G266" s="2" t="s">
        <v>414</v>
      </c>
      <c r="H266" s="11">
        <v>8.6381603E7</v>
      </c>
      <c r="I266" s="2" t="s">
        <v>414</v>
      </c>
      <c r="J266" s="2" t="s">
        <v>69</v>
      </c>
      <c r="K266" s="2" t="s">
        <v>21</v>
      </c>
      <c r="L266" s="2">
        <v>117.0</v>
      </c>
      <c r="N266" s="11">
        <v>1136600.0</v>
      </c>
      <c r="O266" s="4">
        <v>45809.0</v>
      </c>
      <c r="P266" s="2" t="b">
        <v>0</v>
      </c>
    </row>
    <row r="267">
      <c r="A267" s="2" t="s">
        <v>368</v>
      </c>
      <c r="B267" s="2" t="s">
        <v>163</v>
      </c>
      <c r="C267" s="2" t="s">
        <v>40</v>
      </c>
      <c r="D267" s="2" t="s">
        <v>33</v>
      </c>
      <c r="E267" s="2">
        <v>80.0</v>
      </c>
      <c r="F267" s="3">
        <v>45529.0</v>
      </c>
      <c r="G267" s="2" t="s">
        <v>414</v>
      </c>
      <c r="H267" s="11">
        <v>2.1882094E7</v>
      </c>
      <c r="I267" s="2" t="s">
        <v>414</v>
      </c>
      <c r="J267" s="2" t="s">
        <v>34</v>
      </c>
      <c r="K267" s="2" t="s">
        <v>73</v>
      </c>
      <c r="L267" s="2">
        <v>47.0</v>
      </c>
      <c r="N267" s="11">
        <v>273526.0</v>
      </c>
      <c r="O267" s="4">
        <v>45505.0</v>
      </c>
      <c r="P267" s="2" t="b">
        <v>0</v>
      </c>
    </row>
    <row r="268">
      <c r="A268" s="2" t="s">
        <v>369</v>
      </c>
      <c r="B268" s="2" t="s">
        <v>121</v>
      </c>
      <c r="C268" s="2" t="s">
        <v>64</v>
      </c>
      <c r="D268" s="2" t="s">
        <v>72</v>
      </c>
      <c r="E268" s="2">
        <v>232.0</v>
      </c>
      <c r="F268" s="3">
        <v>45286.0</v>
      </c>
      <c r="G268" s="3">
        <v>45453.0</v>
      </c>
      <c r="H268" s="11">
        <v>2.00230154E8</v>
      </c>
      <c r="I268" s="2">
        <v>1.94580575E8</v>
      </c>
      <c r="J268" s="2" t="s">
        <v>20</v>
      </c>
      <c r="K268" s="2" t="s">
        <v>30</v>
      </c>
      <c r="L268" s="2">
        <v>79.0</v>
      </c>
      <c r="M268" s="2">
        <v>167.0</v>
      </c>
      <c r="N268" s="11">
        <v>863061.0</v>
      </c>
      <c r="O268" s="6">
        <v>45261.0</v>
      </c>
      <c r="P268" s="2" t="b">
        <v>1</v>
      </c>
    </row>
    <row r="269">
      <c r="A269" s="2" t="s">
        <v>370</v>
      </c>
      <c r="B269" s="2" t="s">
        <v>227</v>
      </c>
      <c r="C269" s="2" t="s">
        <v>64</v>
      </c>
      <c r="D269" s="2" t="s">
        <v>58</v>
      </c>
      <c r="E269" s="2">
        <v>280.0</v>
      </c>
      <c r="F269" s="3">
        <v>45912.0</v>
      </c>
      <c r="G269" s="2" t="s">
        <v>414</v>
      </c>
      <c r="H269" s="11">
        <v>1.68746537E8</v>
      </c>
      <c r="I269" s="2" t="s">
        <v>414</v>
      </c>
      <c r="J269" s="2" t="s">
        <v>69</v>
      </c>
      <c r="K269" s="2" t="s">
        <v>30</v>
      </c>
      <c r="L269" s="2">
        <v>172.0</v>
      </c>
      <c r="N269" s="11">
        <v>602666.0</v>
      </c>
      <c r="O269" s="4">
        <v>45901.0</v>
      </c>
      <c r="P269" s="2" t="b">
        <v>0</v>
      </c>
    </row>
    <row r="270">
      <c r="A270" s="2" t="s">
        <v>371</v>
      </c>
      <c r="B270" s="2" t="s">
        <v>71</v>
      </c>
      <c r="C270" s="2" t="s">
        <v>28</v>
      </c>
      <c r="D270" s="2" t="s">
        <v>102</v>
      </c>
      <c r="E270" s="2">
        <v>131.0</v>
      </c>
      <c r="F270" s="3">
        <v>45256.0</v>
      </c>
      <c r="G270" s="2" t="s">
        <v>414</v>
      </c>
      <c r="H270" s="11">
        <v>1.40172989E8</v>
      </c>
      <c r="I270" s="2" t="s">
        <v>414</v>
      </c>
      <c r="J270" s="2" t="s">
        <v>34</v>
      </c>
      <c r="K270" s="2" t="s">
        <v>42</v>
      </c>
      <c r="L270" s="2">
        <v>152.0</v>
      </c>
      <c r="N270" s="11">
        <v>1070023.0</v>
      </c>
      <c r="O270" s="6">
        <v>45231.0</v>
      </c>
      <c r="P270" s="2" t="b">
        <v>0</v>
      </c>
    </row>
    <row r="271">
      <c r="A271" s="2" t="s">
        <v>372</v>
      </c>
      <c r="B271" s="2" t="s">
        <v>129</v>
      </c>
      <c r="C271" s="2" t="s">
        <v>18</v>
      </c>
      <c r="D271" s="2" t="s">
        <v>49</v>
      </c>
      <c r="E271" s="2">
        <v>146.0</v>
      </c>
      <c r="F271" s="3">
        <v>45575.0</v>
      </c>
      <c r="G271" s="2" t="s">
        <v>414</v>
      </c>
      <c r="H271" s="11">
        <v>5.7869582E7</v>
      </c>
      <c r="I271" s="2" t="s">
        <v>414</v>
      </c>
      <c r="J271" s="2" t="s">
        <v>41</v>
      </c>
      <c r="K271" s="2" t="s">
        <v>30</v>
      </c>
      <c r="L271" s="2">
        <v>99.0</v>
      </c>
      <c r="N271" s="11">
        <v>396367.0</v>
      </c>
      <c r="O271" s="6">
        <v>45566.0</v>
      </c>
      <c r="P271" s="2" t="b">
        <v>0</v>
      </c>
    </row>
    <row r="272">
      <c r="A272" s="2" t="s">
        <v>373</v>
      </c>
      <c r="B272" s="2" t="s">
        <v>204</v>
      </c>
      <c r="C272" s="2" t="s">
        <v>64</v>
      </c>
      <c r="D272" s="2" t="s">
        <v>81</v>
      </c>
      <c r="E272" s="2">
        <v>3081.0</v>
      </c>
      <c r="F272" s="3">
        <v>45816.0</v>
      </c>
      <c r="G272" s="2" t="s">
        <v>414</v>
      </c>
      <c r="H272" s="11">
        <v>7.380822E8</v>
      </c>
      <c r="I272" s="2" t="s">
        <v>414</v>
      </c>
      <c r="J272" s="2" t="s">
        <v>34</v>
      </c>
      <c r="K272" s="2" t="s">
        <v>73</v>
      </c>
      <c r="L272" s="2">
        <v>167.0</v>
      </c>
      <c r="N272" s="11">
        <v>239559.0</v>
      </c>
      <c r="O272" s="4">
        <v>45809.0</v>
      </c>
      <c r="P272" s="2" t="b">
        <v>0</v>
      </c>
    </row>
    <row r="273">
      <c r="A273" s="2" t="s">
        <v>374</v>
      </c>
      <c r="B273" s="2" t="s">
        <v>66</v>
      </c>
      <c r="C273" s="2" t="s">
        <v>18</v>
      </c>
      <c r="D273" s="2" t="s">
        <v>67</v>
      </c>
      <c r="E273" s="2">
        <v>27.0</v>
      </c>
      <c r="F273" s="3">
        <v>45150.0</v>
      </c>
      <c r="G273" s="2" t="s">
        <v>414</v>
      </c>
      <c r="H273" s="11">
        <v>5545412.0</v>
      </c>
      <c r="I273" s="2" t="s">
        <v>414</v>
      </c>
      <c r="J273" s="2" t="s">
        <v>41</v>
      </c>
      <c r="K273" s="2" t="s">
        <v>30</v>
      </c>
      <c r="L273" s="2">
        <v>77.0</v>
      </c>
      <c r="N273" s="11">
        <v>205386.0</v>
      </c>
      <c r="O273" s="4">
        <v>45139.0</v>
      </c>
      <c r="P273" s="2" t="b">
        <v>0</v>
      </c>
    </row>
    <row r="274">
      <c r="A274" s="2" t="s">
        <v>375</v>
      </c>
      <c r="B274" s="2" t="s">
        <v>208</v>
      </c>
      <c r="C274" s="2" t="s">
        <v>24</v>
      </c>
      <c r="D274" s="2" t="s">
        <v>29</v>
      </c>
      <c r="E274" s="2">
        <v>1469.0</v>
      </c>
      <c r="F274" s="3">
        <v>45734.0</v>
      </c>
      <c r="G274" s="3">
        <v>45923.0</v>
      </c>
      <c r="H274" s="11">
        <v>4.9624101E8</v>
      </c>
      <c r="I274" s="2">
        <v>4.60189531E8</v>
      </c>
      <c r="J274" s="2" t="s">
        <v>20</v>
      </c>
      <c r="K274" s="2" t="s">
        <v>73</v>
      </c>
      <c r="L274" s="2">
        <v>9.0</v>
      </c>
      <c r="M274" s="2">
        <v>189.0</v>
      </c>
      <c r="N274" s="11">
        <v>337809.0</v>
      </c>
      <c r="O274" s="4">
        <v>45717.0</v>
      </c>
      <c r="P274" s="2" t="b">
        <v>1</v>
      </c>
    </row>
    <row r="275">
      <c r="A275" s="2" t="s">
        <v>376</v>
      </c>
      <c r="B275" s="2" t="s">
        <v>129</v>
      </c>
      <c r="C275" s="2" t="s">
        <v>28</v>
      </c>
      <c r="D275" s="2" t="s">
        <v>102</v>
      </c>
      <c r="E275" s="2">
        <v>156.0</v>
      </c>
      <c r="F275" s="3">
        <v>45942.0</v>
      </c>
      <c r="G275" s="2" t="s">
        <v>414</v>
      </c>
      <c r="H275" s="11">
        <v>2.06902016E8</v>
      </c>
      <c r="I275" s="2" t="s">
        <v>414</v>
      </c>
      <c r="J275" s="2" t="s">
        <v>41</v>
      </c>
      <c r="K275" s="2" t="s">
        <v>42</v>
      </c>
      <c r="L275" s="2">
        <v>171.0</v>
      </c>
      <c r="N275" s="11">
        <v>1326295.0</v>
      </c>
      <c r="O275" s="6">
        <v>45931.0</v>
      </c>
      <c r="P275" s="2" t="b">
        <v>0</v>
      </c>
    </row>
    <row r="276">
      <c r="A276" s="2" t="s">
        <v>377</v>
      </c>
      <c r="B276" s="2" t="s">
        <v>106</v>
      </c>
      <c r="C276" s="2" t="s">
        <v>24</v>
      </c>
      <c r="D276" s="2" t="s">
        <v>37</v>
      </c>
      <c r="E276" s="2">
        <v>347.0</v>
      </c>
      <c r="F276" s="3">
        <v>45011.0</v>
      </c>
      <c r="G276" s="3">
        <v>45192.0</v>
      </c>
      <c r="H276" s="11">
        <v>4.54632579E8</v>
      </c>
      <c r="I276" s="2">
        <v>4.47092338E8</v>
      </c>
      <c r="J276" s="2" t="s">
        <v>20</v>
      </c>
      <c r="K276" s="2" t="s">
        <v>30</v>
      </c>
      <c r="L276" s="2">
        <v>64.0</v>
      </c>
      <c r="M276" s="2">
        <v>181.0</v>
      </c>
      <c r="N276" s="11">
        <v>1310180.0</v>
      </c>
      <c r="O276" s="4">
        <v>44986.0</v>
      </c>
      <c r="P276" s="2" t="b">
        <v>1</v>
      </c>
    </row>
    <row r="277">
      <c r="A277" s="2" t="s">
        <v>378</v>
      </c>
      <c r="B277" s="2" t="s">
        <v>211</v>
      </c>
      <c r="C277" s="2" t="s">
        <v>24</v>
      </c>
      <c r="D277" s="2" t="s">
        <v>33</v>
      </c>
      <c r="E277" s="2">
        <v>110.0</v>
      </c>
      <c r="F277" s="3">
        <v>45145.0</v>
      </c>
      <c r="G277" s="3">
        <v>45193.0</v>
      </c>
      <c r="H277" s="11">
        <v>7.7754233E7</v>
      </c>
      <c r="I277" s="2">
        <v>7.7996132E7</v>
      </c>
      <c r="J277" s="2" t="s">
        <v>20</v>
      </c>
      <c r="K277" s="2" t="s">
        <v>73</v>
      </c>
      <c r="L277" s="2">
        <v>7.0</v>
      </c>
      <c r="M277" s="2">
        <v>48.0</v>
      </c>
      <c r="N277" s="11">
        <v>706857.0</v>
      </c>
      <c r="O277" s="4">
        <v>45139.0</v>
      </c>
      <c r="P277" s="2" t="b">
        <v>1</v>
      </c>
    </row>
    <row r="278">
      <c r="A278" s="2" t="s">
        <v>379</v>
      </c>
      <c r="B278" s="2" t="s">
        <v>113</v>
      </c>
      <c r="C278" s="2" t="s">
        <v>28</v>
      </c>
      <c r="D278" s="2" t="s">
        <v>67</v>
      </c>
      <c r="E278" s="2">
        <v>28.0</v>
      </c>
      <c r="F278" s="3">
        <v>45062.0</v>
      </c>
      <c r="G278" s="3">
        <v>45135.0</v>
      </c>
      <c r="H278" s="11">
        <v>1.6713777E7</v>
      </c>
      <c r="I278" s="2">
        <v>1.7330885E7</v>
      </c>
      <c r="J278" s="2" t="s">
        <v>20</v>
      </c>
      <c r="K278" s="2" t="s">
        <v>21</v>
      </c>
      <c r="L278" s="2">
        <v>31.0</v>
      </c>
      <c r="M278" s="2">
        <v>73.0</v>
      </c>
      <c r="N278" s="11">
        <v>596921.0</v>
      </c>
      <c r="O278" s="4">
        <v>45047.0</v>
      </c>
      <c r="P278" s="2" t="b">
        <v>1</v>
      </c>
    </row>
    <row r="279">
      <c r="A279" s="2" t="s">
        <v>380</v>
      </c>
      <c r="B279" s="2" t="s">
        <v>323</v>
      </c>
      <c r="C279" s="2" t="s">
        <v>24</v>
      </c>
      <c r="D279" s="2" t="s">
        <v>37</v>
      </c>
      <c r="E279" s="2">
        <v>370.0</v>
      </c>
      <c r="F279" s="3">
        <v>45583.0</v>
      </c>
      <c r="G279" s="2" t="s">
        <v>414</v>
      </c>
      <c r="H279" s="11">
        <v>4.64213632E8</v>
      </c>
      <c r="I279" s="2" t="s">
        <v>414</v>
      </c>
      <c r="J279" s="2" t="s">
        <v>41</v>
      </c>
      <c r="K279" s="2" t="s">
        <v>25</v>
      </c>
      <c r="L279" s="8">
        <v>7.0</v>
      </c>
      <c r="N279" s="11">
        <v>1254631.0</v>
      </c>
      <c r="O279" s="6">
        <v>45566.0</v>
      </c>
      <c r="P279" s="2" t="b">
        <v>0</v>
      </c>
    </row>
    <row r="280">
      <c r="A280" s="2" t="s">
        <v>381</v>
      </c>
      <c r="B280" s="2" t="s">
        <v>142</v>
      </c>
      <c r="C280" s="2" t="s">
        <v>64</v>
      </c>
      <c r="D280" s="2" t="s">
        <v>102</v>
      </c>
      <c r="E280" s="2">
        <v>156.0</v>
      </c>
      <c r="F280" s="3">
        <v>45145.0</v>
      </c>
      <c r="G280" s="3">
        <v>45198.0</v>
      </c>
      <c r="H280" s="11">
        <v>1.06875783E8</v>
      </c>
      <c r="I280" s="2">
        <v>1.08860697E8</v>
      </c>
      <c r="J280" s="2" t="s">
        <v>20</v>
      </c>
      <c r="K280" s="2" t="s">
        <v>73</v>
      </c>
      <c r="L280" s="2">
        <v>60.0</v>
      </c>
      <c r="M280" s="2">
        <v>53.0</v>
      </c>
      <c r="N280" s="11">
        <v>685101.0</v>
      </c>
      <c r="O280" s="4">
        <v>45139.0</v>
      </c>
      <c r="P280" s="2" t="b">
        <v>1</v>
      </c>
    </row>
    <row r="281">
      <c r="A281" s="2" t="s">
        <v>382</v>
      </c>
      <c r="B281" s="2" t="s">
        <v>86</v>
      </c>
      <c r="C281" s="2" t="s">
        <v>28</v>
      </c>
      <c r="D281" s="2" t="s">
        <v>33</v>
      </c>
      <c r="E281" s="2">
        <v>73.0</v>
      </c>
      <c r="F281" s="3">
        <v>45674.0</v>
      </c>
      <c r="G281" s="3">
        <v>45798.0</v>
      </c>
      <c r="H281" s="11">
        <v>6.0548481E7</v>
      </c>
      <c r="I281" s="2">
        <v>5.7059243E7</v>
      </c>
      <c r="J281" s="2" t="s">
        <v>20</v>
      </c>
      <c r="K281" s="2" t="s">
        <v>30</v>
      </c>
      <c r="L281" s="2">
        <v>170.0</v>
      </c>
      <c r="M281" s="2">
        <v>124.0</v>
      </c>
      <c r="N281" s="11">
        <v>829431.0</v>
      </c>
      <c r="O281" s="4">
        <v>45658.0</v>
      </c>
      <c r="P281" s="2" t="b">
        <v>1</v>
      </c>
    </row>
    <row r="282">
      <c r="A282" s="2" t="s">
        <v>383</v>
      </c>
      <c r="B282" s="2" t="s">
        <v>137</v>
      </c>
      <c r="C282" s="2" t="s">
        <v>28</v>
      </c>
      <c r="D282" s="2" t="s">
        <v>58</v>
      </c>
      <c r="E282" s="2">
        <v>203.0</v>
      </c>
      <c r="F282" s="3">
        <v>45549.0</v>
      </c>
      <c r="G282" s="3">
        <v>45740.0</v>
      </c>
      <c r="H282" s="11">
        <v>1.63370812E8</v>
      </c>
      <c r="I282" s="2">
        <v>1.72442989E8</v>
      </c>
      <c r="J282" s="2" t="s">
        <v>20</v>
      </c>
      <c r="K282" s="2" t="s">
        <v>30</v>
      </c>
      <c r="L282" s="2">
        <v>57.0</v>
      </c>
      <c r="M282" s="2">
        <v>191.0</v>
      </c>
      <c r="N282" s="11">
        <v>804782.0</v>
      </c>
      <c r="O282" s="4">
        <v>45536.0</v>
      </c>
      <c r="P282" s="2" t="b">
        <v>1</v>
      </c>
    </row>
    <row r="283">
      <c r="A283" s="2" t="s">
        <v>384</v>
      </c>
      <c r="B283" s="2" t="s">
        <v>75</v>
      </c>
      <c r="C283" s="2" t="s">
        <v>64</v>
      </c>
      <c r="D283" s="2" t="s">
        <v>58</v>
      </c>
      <c r="E283" s="2">
        <v>98.0</v>
      </c>
      <c r="F283" s="3">
        <v>45588.0</v>
      </c>
      <c r="G283" s="3">
        <v>45664.0</v>
      </c>
      <c r="H283" s="11">
        <v>5.0836301E7</v>
      </c>
      <c r="I283" s="2">
        <v>4.7686432E7</v>
      </c>
      <c r="J283" s="2" t="s">
        <v>20</v>
      </c>
      <c r="K283" s="2" t="s">
        <v>73</v>
      </c>
      <c r="L283" s="2">
        <v>168.0</v>
      </c>
      <c r="M283" s="2">
        <v>76.0</v>
      </c>
      <c r="N283" s="11">
        <v>518738.0</v>
      </c>
      <c r="O283" s="6">
        <v>45566.0</v>
      </c>
      <c r="P283" s="2" t="b">
        <v>1</v>
      </c>
    </row>
    <row r="284">
      <c r="A284" s="2" t="s">
        <v>385</v>
      </c>
      <c r="B284" s="2" t="s">
        <v>46</v>
      </c>
      <c r="C284" s="2" t="s">
        <v>64</v>
      </c>
      <c r="D284" s="2" t="s">
        <v>58</v>
      </c>
      <c r="E284" s="2">
        <v>277.0</v>
      </c>
      <c r="F284" s="3">
        <v>45883.0</v>
      </c>
      <c r="G284" s="3">
        <v>45997.0</v>
      </c>
      <c r="H284" s="11">
        <v>1.63759954E8</v>
      </c>
      <c r="I284" s="2">
        <v>1.65551629E8</v>
      </c>
      <c r="J284" s="2" t="s">
        <v>20</v>
      </c>
      <c r="K284" s="2" t="s">
        <v>30</v>
      </c>
      <c r="L284" s="2">
        <v>144.0</v>
      </c>
      <c r="M284" s="2">
        <v>114.0</v>
      </c>
      <c r="N284" s="11">
        <v>591191.0</v>
      </c>
      <c r="O284" s="4">
        <v>45870.0</v>
      </c>
      <c r="P284" s="2" t="b">
        <v>1</v>
      </c>
    </row>
    <row r="285">
      <c r="A285" s="2" t="s">
        <v>386</v>
      </c>
      <c r="B285" s="2" t="s">
        <v>121</v>
      </c>
      <c r="C285" s="2" t="s">
        <v>18</v>
      </c>
      <c r="D285" s="2" t="s">
        <v>81</v>
      </c>
      <c r="E285" s="2">
        <v>997.0</v>
      </c>
      <c r="F285" s="3">
        <v>44996.0</v>
      </c>
      <c r="G285" s="3">
        <v>45066.0</v>
      </c>
      <c r="H285" s="11">
        <v>1.45039936E8</v>
      </c>
      <c r="I285" s="2">
        <v>1.34840005E8</v>
      </c>
      <c r="J285" s="2" t="s">
        <v>20</v>
      </c>
      <c r="K285" s="2" t="s">
        <v>73</v>
      </c>
      <c r="L285" s="2">
        <v>134.0</v>
      </c>
      <c r="M285" s="2">
        <v>70.0</v>
      </c>
      <c r="N285" s="11">
        <v>145476.0</v>
      </c>
      <c r="O285" s="4">
        <v>44986.0</v>
      </c>
      <c r="P285" s="2" t="b">
        <v>1</v>
      </c>
    </row>
    <row r="286">
      <c r="A286" s="2" t="s">
        <v>387</v>
      </c>
      <c r="B286" s="2" t="s">
        <v>119</v>
      </c>
      <c r="C286" s="2" t="s">
        <v>24</v>
      </c>
      <c r="D286" s="2" t="s">
        <v>58</v>
      </c>
      <c r="E286" s="2">
        <v>246.0</v>
      </c>
      <c r="F286" s="3">
        <v>45645.0</v>
      </c>
      <c r="G286" s="3">
        <v>45823.0</v>
      </c>
      <c r="H286" s="11">
        <v>1.87257054E8</v>
      </c>
      <c r="I286" s="2">
        <v>1.90733954E8</v>
      </c>
      <c r="J286" s="2" t="s">
        <v>20</v>
      </c>
      <c r="K286" s="2" t="s">
        <v>30</v>
      </c>
      <c r="L286" s="2">
        <v>26.0</v>
      </c>
      <c r="M286" s="2">
        <v>178.0</v>
      </c>
      <c r="N286" s="11">
        <v>761208.0</v>
      </c>
      <c r="O286" s="6">
        <v>45627.0</v>
      </c>
      <c r="P286" s="2" t="b">
        <v>1</v>
      </c>
    </row>
    <row r="287">
      <c r="A287" s="2" t="s">
        <v>388</v>
      </c>
      <c r="B287" s="2" t="s">
        <v>23</v>
      </c>
      <c r="C287" s="2" t="s">
        <v>24</v>
      </c>
      <c r="D287" s="2" t="s">
        <v>58</v>
      </c>
      <c r="E287" s="2">
        <v>285.0</v>
      </c>
      <c r="F287" s="3">
        <v>45476.0</v>
      </c>
      <c r="G287" s="3">
        <v>45641.0</v>
      </c>
      <c r="H287" s="11">
        <v>2.24910074E8</v>
      </c>
      <c r="I287" s="2">
        <v>2.36948213E8</v>
      </c>
      <c r="J287" s="2" t="s">
        <v>20</v>
      </c>
      <c r="K287" s="2" t="s">
        <v>21</v>
      </c>
      <c r="L287" s="2">
        <v>84.0</v>
      </c>
      <c r="M287" s="2">
        <v>165.0</v>
      </c>
      <c r="N287" s="11">
        <v>789158.0</v>
      </c>
      <c r="O287" s="4">
        <v>45474.0</v>
      </c>
      <c r="P287" s="2" t="b">
        <v>1</v>
      </c>
    </row>
    <row r="288">
      <c r="A288" s="2" t="s">
        <v>389</v>
      </c>
      <c r="B288" s="2" t="s">
        <v>139</v>
      </c>
      <c r="C288" s="2" t="s">
        <v>18</v>
      </c>
      <c r="D288" s="2" t="s">
        <v>72</v>
      </c>
      <c r="E288" s="2">
        <v>194.0</v>
      </c>
      <c r="F288" s="3">
        <v>45873.0</v>
      </c>
      <c r="G288" s="2" t="s">
        <v>414</v>
      </c>
      <c r="H288" s="11">
        <v>1.07056772E8</v>
      </c>
      <c r="I288" s="2">
        <v>9.943482E7</v>
      </c>
      <c r="J288" s="2" t="s">
        <v>20</v>
      </c>
      <c r="K288" s="2" t="s">
        <v>42</v>
      </c>
      <c r="L288" s="2">
        <v>35.0</v>
      </c>
      <c r="M288" s="2">
        <v>131.0</v>
      </c>
      <c r="N288" s="11">
        <v>551839.0</v>
      </c>
      <c r="O288" s="4">
        <v>45870.0</v>
      </c>
      <c r="P288" s="2" t="b">
        <v>1</v>
      </c>
    </row>
    <row r="289">
      <c r="A289" s="2" t="s">
        <v>390</v>
      </c>
      <c r="B289" s="2" t="s">
        <v>284</v>
      </c>
      <c r="C289" s="2" t="s">
        <v>28</v>
      </c>
      <c r="D289" s="2" t="s">
        <v>102</v>
      </c>
      <c r="E289" s="2">
        <v>101.0</v>
      </c>
      <c r="F289" s="3">
        <v>45902.0</v>
      </c>
      <c r="G289" s="2" t="s">
        <v>414</v>
      </c>
      <c r="H289" s="11">
        <v>1.24825346E8</v>
      </c>
      <c r="I289" s="2">
        <v>1.29234487E8</v>
      </c>
      <c r="J289" s="2" t="s">
        <v>20</v>
      </c>
      <c r="K289" s="2" t="s">
        <v>42</v>
      </c>
      <c r="L289" s="2">
        <v>100.0</v>
      </c>
      <c r="M289" s="2">
        <v>147.0</v>
      </c>
      <c r="N289" s="11">
        <v>1235895.0</v>
      </c>
      <c r="O289" s="4">
        <v>45901.0</v>
      </c>
      <c r="P289" s="2" t="b">
        <v>1</v>
      </c>
    </row>
    <row r="290">
      <c r="A290" s="2" t="s">
        <v>391</v>
      </c>
      <c r="B290" s="2" t="s">
        <v>46</v>
      </c>
      <c r="C290" s="2" t="s">
        <v>28</v>
      </c>
      <c r="D290" s="2" t="s">
        <v>37</v>
      </c>
      <c r="E290" s="2">
        <v>360.0</v>
      </c>
      <c r="F290" s="3">
        <v>45753.0</v>
      </c>
      <c r="G290" s="3">
        <v>45902.0</v>
      </c>
      <c r="H290" s="11">
        <v>5.89419449E8</v>
      </c>
      <c r="I290" s="2">
        <v>6.09443041E8</v>
      </c>
      <c r="J290" s="2" t="s">
        <v>20</v>
      </c>
      <c r="K290" s="2" t="s">
        <v>25</v>
      </c>
      <c r="L290" s="2">
        <v>165.0</v>
      </c>
      <c r="M290" s="2">
        <v>149.0</v>
      </c>
      <c r="N290" s="11">
        <v>1637276.0</v>
      </c>
      <c r="O290" s="4">
        <v>45748.0</v>
      </c>
      <c r="P290" s="2" t="b">
        <v>1</v>
      </c>
    </row>
    <row r="291">
      <c r="A291" s="2" t="s">
        <v>392</v>
      </c>
      <c r="B291" s="2" t="s">
        <v>54</v>
      </c>
      <c r="C291" s="2" t="s">
        <v>28</v>
      </c>
      <c r="D291" s="2" t="s">
        <v>81</v>
      </c>
      <c r="E291" s="2">
        <v>4584.0</v>
      </c>
      <c r="F291" s="3">
        <v>45438.0</v>
      </c>
      <c r="G291" s="2" t="s">
        <v>414</v>
      </c>
      <c r="H291" s="11">
        <v>2.331002077E9</v>
      </c>
      <c r="I291" s="2" t="s">
        <v>414</v>
      </c>
      <c r="J291" s="2" t="s">
        <v>41</v>
      </c>
      <c r="K291" s="2" t="s">
        <v>30</v>
      </c>
      <c r="L291" s="2">
        <v>31.0</v>
      </c>
      <c r="N291" s="11">
        <v>508508.0</v>
      </c>
      <c r="O291" s="4">
        <v>45413.0</v>
      </c>
      <c r="P291" s="2" t="b">
        <v>0</v>
      </c>
    </row>
    <row r="292">
      <c r="A292" s="2" t="s">
        <v>393</v>
      </c>
      <c r="B292" s="2" t="s">
        <v>60</v>
      </c>
      <c r="C292" s="2" t="s">
        <v>40</v>
      </c>
      <c r="D292" s="2" t="s">
        <v>33</v>
      </c>
      <c r="E292" s="2">
        <v>79.0</v>
      </c>
      <c r="F292" s="3">
        <v>44972.0</v>
      </c>
      <c r="G292" s="2" t="s">
        <v>414</v>
      </c>
      <c r="H292" s="11">
        <v>1.8719456E7</v>
      </c>
      <c r="I292" s="2" t="s">
        <v>414</v>
      </c>
      <c r="J292" s="2" t="s">
        <v>41</v>
      </c>
      <c r="K292" s="2" t="s">
        <v>73</v>
      </c>
      <c r="L292" s="2">
        <v>98.0</v>
      </c>
      <c r="N292" s="11">
        <v>236955.0</v>
      </c>
      <c r="O292" s="4">
        <v>44958.0</v>
      </c>
      <c r="P292" s="2" t="b">
        <v>0</v>
      </c>
    </row>
    <row r="293">
      <c r="A293" s="2" t="s">
        <v>394</v>
      </c>
      <c r="B293" s="2" t="s">
        <v>121</v>
      </c>
      <c r="C293" s="2" t="s">
        <v>24</v>
      </c>
      <c r="D293" s="2" t="s">
        <v>102</v>
      </c>
      <c r="E293" s="2">
        <v>122.0</v>
      </c>
      <c r="F293" s="3">
        <v>45749.0</v>
      </c>
      <c r="G293" s="2" t="s">
        <v>414</v>
      </c>
      <c r="H293" s="11">
        <v>1.10254885E8</v>
      </c>
      <c r="I293" s="2" t="s">
        <v>414</v>
      </c>
      <c r="J293" s="2" t="s">
        <v>34</v>
      </c>
      <c r="K293" s="2" t="s">
        <v>42</v>
      </c>
      <c r="L293" s="2">
        <v>87.0</v>
      </c>
      <c r="N293" s="11">
        <v>903729.0</v>
      </c>
      <c r="O293" s="4">
        <v>45748.0</v>
      </c>
      <c r="P293" s="2" t="b">
        <v>0</v>
      </c>
    </row>
    <row r="294">
      <c r="A294" s="2" t="s">
        <v>395</v>
      </c>
      <c r="B294" s="2" t="s">
        <v>86</v>
      </c>
      <c r="C294" s="2" t="s">
        <v>28</v>
      </c>
      <c r="D294" s="2" t="s">
        <v>67</v>
      </c>
      <c r="E294" s="2">
        <v>33.0</v>
      </c>
      <c r="F294" s="3">
        <v>45308.0</v>
      </c>
      <c r="G294" s="3">
        <v>45495.0</v>
      </c>
      <c r="H294" s="11">
        <v>2.3773594E7</v>
      </c>
      <c r="I294" s="2">
        <v>2.2553892E7</v>
      </c>
      <c r="J294" s="2" t="s">
        <v>20</v>
      </c>
      <c r="K294" s="2" t="s">
        <v>25</v>
      </c>
      <c r="L294" s="2">
        <v>16.0</v>
      </c>
      <c r="M294" s="2">
        <v>187.0</v>
      </c>
      <c r="N294" s="11">
        <v>720412.0</v>
      </c>
      <c r="O294" s="4">
        <v>45292.0</v>
      </c>
      <c r="P294" s="2" t="b">
        <v>1</v>
      </c>
    </row>
    <row r="295">
      <c r="A295" s="2" t="s">
        <v>396</v>
      </c>
      <c r="B295" s="2" t="s">
        <v>256</v>
      </c>
      <c r="C295" s="2" t="s">
        <v>101</v>
      </c>
      <c r="D295" s="2" t="s">
        <v>33</v>
      </c>
      <c r="E295" s="2">
        <v>94.0</v>
      </c>
      <c r="F295" s="3">
        <v>45262.0</v>
      </c>
      <c r="G295" s="3">
        <v>45393.0</v>
      </c>
      <c r="H295" s="11">
        <v>2.1653903E7</v>
      </c>
      <c r="I295" s="2">
        <v>2.061684E7</v>
      </c>
      <c r="J295" s="2" t="s">
        <v>20</v>
      </c>
      <c r="K295" s="2" t="s">
        <v>25</v>
      </c>
      <c r="L295" s="2">
        <v>82.0</v>
      </c>
      <c r="M295" s="2">
        <v>131.0</v>
      </c>
      <c r="N295" s="11">
        <v>230361.0</v>
      </c>
      <c r="O295" s="6">
        <v>45261.0</v>
      </c>
      <c r="P295" s="2" t="b">
        <v>1</v>
      </c>
    </row>
    <row r="296">
      <c r="A296" s="2" t="s">
        <v>397</v>
      </c>
      <c r="B296" s="2" t="s">
        <v>32</v>
      </c>
      <c r="C296" s="2" t="s">
        <v>57</v>
      </c>
      <c r="D296" s="2" t="s">
        <v>72</v>
      </c>
      <c r="E296" s="2">
        <v>298.0</v>
      </c>
      <c r="F296" s="3">
        <v>45922.0</v>
      </c>
      <c r="G296" s="3">
        <v>45987.0</v>
      </c>
      <c r="H296" s="11">
        <v>1.96191146E8</v>
      </c>
      <c r="I296" s="2">
        <v>1.97652667E8</v>
      </c>
      <c r="J296" s="2" t="s">
        <v>20</v>
      </c>
      <c r="K296" s="2" t="s">
        <v>42</v>
      </c>
      <c r="L296" s="2">
        <v>43.0</v>
      </c>
      <c r="M296" s="2">
        <v>65.0</v>
      </c>
      <c r="N296" s="11">
        <v>658360.0</v>
      </c>
      <c r="O296" s="4">
        <v>45901.0</v>
      </c>
      <c r="P296" s="2" t="b">
        <v>1</v>
      </c>
    </row>
    <row r="297">
      <c r="A297" s="2" t="s">
        <v>398</v>
      </c>
      <c r="B297" s="2" t="s">
        <v>183</v>
      </c>
      <c r="C297" s="2" t="s">
        <v>28</v>
      </c>
      <c r="D297" s="2" t="s">
        <v>49</v>
      </c>
      <c r="E297" s="2">
        <v>56.0</v>
      </c>
      <c r="F297" s="3">
        <v>45281.0</v>
      </c>
      <c r="G297" s="3">
        <v>45473.0</v>
      </c>
      <c r="H297" s="11">
        <v>8.0026606E7</v>
      </c>
      <c r="I297" s="2">
        <v>8.5801201E7</v>
      </c>
      <c r="J297" s="2" t="s">
        <v>20</v>
      </c>
      <c r="K297" s="2" t="s">
        <v>21</v>
      </c>
      <c r="L297" s="2">
        <v>173.0</v>
      </c>
      <c r="M297" s="2">
        <v>192.0</v>
      </c>
      <c r="N297" s="11">
        <v>1429047.0</v>
      </c>
      <c r="O297" s="6">
        <v>45261.0</v>
      </c>
      <c r="P297" s="2" t="b">
        <v>1</v>
      </c>
    </row>
    <row r="298">
      <c r="A298" s="2" t="s">
        <v>399</v>
      </c>
      <c r="B298" s="2" t="s">
        <v>183</v>
      </c>
      <c r="C298" s="2" t="s">
        <v>24</v>
      </c>
      <c r="D298" s="2" t="s">
        <v>37</v>
      </c>
      <c r="E298" s="2">
        <v>353.0</v>
      </c>
      <c r="F298" s="3">
        <v>45933.0</v>
      </c>
      <c r="G298" s="2" t="s">
        <v>414</v>
      </c>
      <c r="H298" s="11">
        <v>6.23150142E8</v>
      </c>
      <c r="I298" s="2">
        <v>6.70266198E8</v>
      </c>
      <c r="J298" s="2" t="s">
        <v>20</v>
      </c>
      <c r="K298" s="2" t="s">
        <v>42</v>
      </c>
      <c r="L298" s="2">
        <v>76.0</v>
      </c>
      <c r="M298" s="2">
        <v>140.0</v>
      </c>
      <c r="N298" s="11">
        <v>1765298.0</v>
      </c>
      <c r="O298" s="6">
        <v>45931.0</v>
      </c>
      <c r="P298" s="2" t="b">
        <v>1</v>
      </c>
    </row>
    <row r="299">
      <c r="A299" s="2" t="s">
        <v>400</v>
      </c>
      <c r="B299" s="2" t="s">
        <v>113</v>
      </c>
      <c r="C299" s="2" t="s">
        <v>28</v>
      </c>
      <c r="D299" s="2" t="s">
        <v>72</v>
      </c>
      <c r="E299" s="2">
        <v>313.0</v>
      </c>
      <c r="F299" s="3">
        <v>45844.0</v>
      </c>
      <c r="G299" s="2" t="s">
        <v>414</v>
      </c>
      <c r="H299" s="11">
        <v>4.23320067E8</v>
      </c>
      <c r="I299" s="2">
        <v>3.95928007E8</v>
      </c>
      <c r="J299" s="2" t="s">
        <v>20</v>
      </c>
      <c r="K299" s="2" t="s">
        <v>42</v>
      </c>
      <c r="L299" s="2">
        <v>168.0</v>
      </c>
      <c r="M299" s="2">
        <v>206.0</v>
      </c>
      <c r="N299" s="11">
        <v>1352460.0</v>
      </c>
      <c r="O299" s="4">
        <v>45839.0</v>
      </c>
      <c r="P299" s="2" t="b">
        <v>1</v>
      </c>
    </row>
    <row r="300">
      <c r="A300" s="2" t="s">
        <v>401</v>
      </c>
      <c r="B300" s="2" t="s">
        <v>204</v>
      </c>
      <c r="C300" s="2" t="s">
        <v>57</v>
      </c>
      <c r="D300" s="2" t="s">
        <v>33</v>
      </c>
      <c r="E300" s="2">
        <v>102.0</v>
      </c>
      <c r="F300" s="3">
        <v>45372.0</v>
      </c>
      <c r="G300" s="3">
        <v>45420.0</v>
      </c>
      <c r="H300" s="11">
        <v>3.0835291E7</v>
      </c>
      <c r="I300" s="2">
        <v>2.9656104E7</v>
      </c>
      <c r="J300" s="2" t="s">
        <v>20</v>
      </c>
      <c r="K300" s="2" t="s">
        <v>30</v>
      </c>
      <c r="L300" s="2">
        <v>105.0</v>
      </c>
      <c r="M300" s="2">
        <v>48.0</v>
      </c>
      <c r="N300" s="11">
        <v>302307.0</v>
      </c>
      <c r="O300" s="4">
        <v>45352.0</v>
      </c>
      <c r="P300" s="2" t="b">
        <v>1</v>
      </c>
    </row>
    <row r="301">
      <c r="A301" s="2" t="s">
        <v>402</v>
      </c>
      <c r="B301" s="2" t="s">
        <v>95</v>
      </c>
      <c r="C301" s="2" t="s">
        <v>18</v>
      </c>
      <c r="D301" s="2" t="s">
        <v>67</v>
      </c>
      <c r="E301" s="2">
        <v>35.0</v>
      </c>
      <c r="F301" s="3">
        <v>45166.0</v>
      </c>
      <c r="G301" s="3">
        <v>45232.0</v>
      </c>
      <c r="H301" s="11">
        <v>6204490.0</v>
      </c>
      <c r="I301" s="2">
        <v>6472669.0</v>
      </c>
      <c r="J301" s="2" t="s">
        <v>20</v>
      </c>
      <c r="K301" s="2" t="s">
        <v>21</v>
      </c>
      <c r="L301" s="2">
        <v>44.0</v>
      </c>
      <c r="M301" s="2">
        <v>66.0</v>
      </c>
      <c r="N301" s="11">
        <v>177271.0</v>
      </c>
      <c r="O301" s="4">
        <v>45139.0</v>
      </c>
      <c r="P301" s="2" t="b">
        <v>1</v>
      </c>
    </row>
    <row r="302">
      <c r="A302" s="2" t="s">
        <v>403</v>
      </c>
      <c r="B302" s="2" t="s">
        <v>123</v>
      </c>
      <c r="C302" s="2" t="s">
        <v>28</v>
      </c>
      <c r="D302" s="2" t="s">
        <v>81</v>
      </c>
      <c r="E302" s="2">
        <v>4217.0</v>
      </c>
      <c r="F302" s="3">
        <v>45050.0</v>
      </c>
      <c r="G302" s="3">
        <v>45118.0</v>
      </c>
      <c r="H302" s="11">
        <v>2.216839299E9</v>
      </c>
      <c r="I302" s="2">
        <v>2.203838545E9</v>
      </c>
      <c r="J302" s="2" t="s">
        <v>20</v>
      </c>
      <c r="K302" s="2" t="s">
        <v>21</v>
      </c>
      <c r="L302" s="2">
        <v>28.0</v>
      </c>
      <c r="M302" s="2">
        <v>68.0</v>
      </c>
      <c r="N302" s="11">
        <v>525691.0</v>
      </c>
      <c r="O302" s="4">
        <v>45047.0</v>
      </c>
      <c r="P302" s="2" t="b">
        <v>1</v>
      </c>
    </row>
    <row r="303">
      <c r="A303" s="2" t="s">
        <v>404</v>
      </c>
      <c r="B303" s="2" t="s">
        <v>27</v>
      </c>
      <c r="C303" s="2" t="s">
        <v>28</v>
      </c>
      <c r="D303" s="2" t="s">
        <v>37</v>
      </c>
      <c r="E303" s="2">
        <v>608.0</v>
      </c>
      <c r="F303" s="3">
        <v>45782.0</v>
      </c>
      <c r="G303" s="2" t="s">
        <v>414</v>
      </c>
      <c r="H303" s="11">
        <v>1.007898169E9</v>
      </c>
      <c r="I303" s="2" t="s">
        <v>414</v>
      </c>
      <c r="J303" s="2" t="s">
        <v>41</v>
      </c>
      <c r="K303" s="2" t="s">
        <v>42</v>
      </c>
      <c r="L303" s="2">
        <v>96.0</v>
      </c>
      <c r="N303" s="11">
        <v>1657727.0</v>
      </c>
      <c r="O303" s="4">
        <v>45778.0</v>
      </c>
      <c r="P303" s="2" t="b">
        <v>0</v>
      </c>
    </row>
    <row r="304">
      <c r="A304" s="2" t="s">
        <v>405</v>
      </c>
      <c r="B304" s="2" t="s">
        <v>256</v>
      </c>
      <c r="C304" s="2" t="s">
        <v>24</v>
      </c>
      <c r="D304" s="2" t="s">
        <v>19</v>
      </c>
      <c r="E304" s="2">
        <v>61.0</v>
      </c>
      <c r="F304" s="3">
        <v>45766.0</v>
      </c>
      <c r="G304" s="2" t="s">
        <v>414</v>
      </c>
      <c r="H304" s="11">
        <v>4.1482339E7</v>
      </c>
      <c r="I304" s="2" t="s">
        <v>414</v>
      </c>
      <c r="J304" s="2" t="s">
        <v>41</v>
      </c>
      <c r="K304" s="2" t="s">
        <v>73</v>
      </c>
      <c r="L304" s="2">
        <v>147.0</v>
      </c>
      <c r="N304" s="11">
        <v>680038.0</v>
      </c>
      <c r="O304" s="4">
        <v>45748.0</v>
      </c>
      <c r="P304" s="2" t="b">
        <v>0</v>
      </c>
    </row>
    <row r="305">
      <c r="A305" s="2" t="s">
        <v>406</v>
      </c>
      <c r="B305" s="2" t="s">
        <v>129</v>
      </c>
      <c r="C305" s="2" t="s">
        <v>57</v>
      </c>
      <c r="D305" s="2" t="s">
        <v>72</v>
      </c>
      <c r="E305" s="2">
        <v>204.0</v>
      </c>
      <c r="F305" s="3">
        <v>45750.0</v>
      </c>
      <c r="G305" s="2" t="s">
        <v>414</v>
      </c>
      <c r="H305" s="11">
        <v>1.00440394E8</v>
      </c>
      <c r="I305" s="2" t="s">
        <v>414</v>
      </c>
      <c r="J305" s="2" t="s">
        <v>41</v>
      </c>
      <c r="K305" s="2" t="s">
        <v>42</v>
      </c>
      <c r="L305" s="2">
        <v>38.0</v>
      </c>
      <c r="N305" s="11">
        <v>492355.0</v>
      </c>
      <c r="O305" s="4">
        <v>45748.0</v>
      </c>
      <c r="P305" s="2" t="b">
        <v>0</v>
      </c>
    </row>
    <row r="306">
      <c r="A306" s="2" t="s">
        <v>407</v>
      </c>
      <c r="B306" s="2" t="s">
        <v>86</v>
      </c>
      <c r="C306" s="2" t="s">
        <v>28</v>
      </c>
      <c r="D306" s="2" t="s">
        <v>49</v>
      </c>
      <c r="E306" s="2">
        <v>145.0</v>
      </c>
      <c r="F306" s="3">
        <v>45527.0</v>
      </c>
      <c r="G306" s="3">
        <v>45561.0</v>
      </c>
      <c r="H306" s="11">
        <v>1.48172148E8</v>
      </c>
      <c r="I306" s="2">
        <v>1.37846849E8</v>
      </c>
      <c r="J306" s="2" t="s">
        <v>20</v>
      </c>
      <c r="K306" s="2" t="s">
        <v>73</v>
      </c>
      <c r="L306" s="2">
        <v>37.0</v>
      </c>
      <c r="M306" s="2">
        <v>34.0</v>
      </c>
      <c r="N306" s="11">
        <v>1021877.0</v>
      </c>
      <c r="O306" s="4">
        <v>45505.0</v>
      </c>
      <c r="P306" s="2" t="b">
        <v>1</v>
      </c>
    </row>
    <row r="307">
      <c r="A307" s="2" t="s">
        <v>408</v>
      </c>
      <c r="B307" s="2" t="s">
        <v>104</v>
      </c>
      <c r="C307" s="2" t="s">
        <v>28</v>
      </c>
      <c r="D307" s="2" t="s">
        <v>67</v>
      </c>
      <c r="E307" s="2">
        <v>28.0</v>
      </c>
      <c r="F307" s="3">
        <v>44978.0</v>
      </c>
      <c r="G307" s="3">
        <v>45139.0</v>
      </c>
      <c r="H307" s="11">
        <v>1.7047554E7</v>
      </c>
      <c r="I307" s="2">
        <v>1.7659713E7</v>
      </c>
      <c r="J307" s="2" t="s">
        <v>20</v>
      </c>
      <c r="K307" s="2" t="s">
        <v>73</v>
      </c>
      <c r="L307" s="2">
        <v>12.0</v>
      </c>
      <c r="M307" s="2">
        <v>161.0</v>
      </c>
      <c r="N307" s="11">
        <v>608841.0</v>
      </c>
      <c r="O307" s="4">
        <v>44958.0</v>
      </c>
      <c r="P307" s="2" t="b">
        <v>1</v>
      </c>
    </row>
    <row r="308">
      <c r="A308" s="2" t="s">
        <v>409</v>
      </c>
      <c r="B308" s="2" t="s">
        <v>88</v>
      </c>
      <c r="C308" s="2" t="s">
        <v>24</v>
      </c>
      <c r="D308" s="2" t="s">
        <v>49</v>
      </c>
      <c r="E308" s="2">
        <v>94.0</v>
      </c>
      <c r="F308" s="3">
        <v>45857.0</v>
      </c>
      <c r="G308" s="3">
        <v>45943.0</v>
      </c>
      <c r="H308" s="11">
        <v>8.7969727E7</v>
      </c>
      <c r="I308" s="2">
        <v>8.3024159E7</v>
      </c>
      <c r="J308" s="2" t="s">
        <v>20</v>
      </c>
      <c r="K308" s="2" t="s">
        <v>25</v>
      </c>
      <c r="L308" s="2">
        <v>163.0</v>
      </c>
      <c r="M308" s="2">
        <v>86.0</v>
      </c>
      <c r="N308" s="11">
        <v>935848.0</v>
      </c>
      <c r="O308" s="4">
        <v>45839.0</v>
      </c>
      <c r="P308" s="2" t="b">
        <v>1</v>
      </c>
    </row>
    <row r="309">
      <c r="A309" s="2" t="s">
        <v>410</v>
      </c>
      <c r="B309" s="2" t="s">
        <v>52</v>
      </c>
      <c r="C309" s="2" t="s">
        <v>64</v>
      </c>
      <c r="D309" s="2" t="s">
        <v>37</v>
      </c>
      <c r="E309" s="2">
        <v>555.0</v>
      </c>
      <c r="F309" s="3">
        <v>45417.0</v>
      </c>
      <c r="G309" s="3">
        <v>45503.0</v>
      </c>
      <c r="H309" s="11">
        <v>5.51211597E8</v>
      </c>
      <c r="I309" s="2">
        <v>5.44088604E8</v>
      </c>
      <c r="J309" s="2" t="s">
        <v>20</v>
      </c>
      <c r="K309" s="2" t="s">
        <v>25</v>
      </c>
      <c r="L309" s="2">
        <v>68.0</v>
      </c>
      <c r="M309" s="2">
        <v>86.0</v>
      </c>
      <c r="N309" s="11">
        <v>993174.0</v>
      </c>
      <c r="O309" s="4">
        <v>45413.0</v>
      </c>
      <c r="P309" s="2" t="b">
        <v>1</v>
      </c>
    </row>
    <row r="310">
      <c r="A310" s="2" t="s">
        <v>411</v>
      </c>
      <c r="B310" s="2" t="s">
        <v>104</v>
      </c>
      <c r="C310" s="2" t="s">
        <v>18</v>
      </c>
      <c r="D310" s="2" t="s">
        <v>58</v>
      </c>
      <c r="E310" s="2">
        <v>253.0</v>
      </c>
      <c r="F310" s="3">
        <v>45727.0</v>
      </c>
      <c r="G310" s="2" t="s">
        <v>414</v>
      </c>
      <c r="H310" s="11">
        <v>8.3207802E7</v>
      </c>
      <c r="I310" s="2" t="s">
        <v>414</v>
      </c>
      <c r="J310" s="2" t="s">
        <v>69</v>
      </c>
      <c r="K310" s="2" t="s">
        <v>73</v>
      </c>
      <c r="L310" s="2">
        <v>93.0</v>
      </c>
      <c r="N310" s="11">
        <v>328885.0</v>
      </c>
      <c r="O310" s="4">
        <v>45717.0</v>
      </c>
      <c r="P310" s="2" t="b">
        <v>0</v>
      </c>
    </row>
    <row r="311">
      <c r="A311" s="2" t="s">
        <v>412</v>
      </c>
      <c r="B311" s="2" t="s">
        <v>75</v>
      </c>
      <c r="C311" s="2" t="s">
        <v>93</v>
      </c>
      <c r="D311" s="2" t="s">
        <v>58</v>
      </c>
      <c r="E311" s="2">
        <v>132.0</v>
      </c>
      <c r="F311" s="3">
        <v>45111.0</v>
      </c>
      <c r="G311" s="3">
        <v>45278.0</v>
      </c>
      <c r="H311" s="11">
        <v>4.0842207E7</v>
      </c>
      <c r="I311" s="2">
        <v>4.3428432E7</v>
      </c>
      <c r="J311" s="2" t="s">
        <v>20</v>
      </c>
      <c r="K311" s="2" t="s">
        <v>30</v>
      </c>
      <c r="L311" s="2">
        <v>19.0</v>
      </c>
      <c r="M311" s="2">
        <v>167.0</v>
      </c>
      <c r="N311" s="11">
        <v>309411.0</v>
      </c>
      <c r="O311" s="4">
        <v>45108.0</v>
      </c>
      <c r="P311" s="2" t="b">
        <v>1</v>
      </c>
    </row>
    <row r="312">
      <c r="A312" s="2" t="s">
        <v>413</v>
      </c>
      <c r="B312" s="2" t="s">
        <v>32</v>
      </c>
      <c r="C312" s="2" t="s">
        <v>57</v>
      </c>
      <c r="D312" s="2" t="s">
        <v>81</v>
      </c>
      <c r="E312" s="2">
        <v>4737.0</v>
      </c>
      <c r="F312" s="3">
        <v>45165.0</v>
      </c>
      <c r="G312" s="2" t="s">
        <v>414</v>
      </c>
      <c r="H312" s="11">
        <v>8.63249192E8</v>
      </c>
      <c r="I312" s="2" t="s">
        <v>414</v>
      </c>
      <c r="J312" s="2" t="s">
        <v>41</v>
      </c>
      <c r="K312" s="2" t="s">
        <v>42</v>
      </c>
      <c r="L312" s="2">
        <v>73.0</v>
      </c>
      <c r="N312" s="11">
        <v>182235.0</v>
      </c>
      <c r="O312" s="4">
        <v>45139.0</v>
      </c>
      <c r="P312" s="2" t="b">
        <v>0</v>
      </c>
    </row>
    <row r="313">
      <c r="A313" s="2" t="s">
        <v>415</v>
      </c>
      <c r="B313" s="2" t="s">
        <v>183</v>
      </c>
      <c r="C313" s="2" t="s">
        <v>64</v>
      </c>
      <c r="D313" s="2" t="s">
        <v>19</v>
      </c>
      <c r="E313" s="2">
        <v>64.0</v>
      </c>
      <c r="F313" s="3">
        <v>45793.0</v>
      </c>
      <c r="G313" s="2" t="s">
        <v>414</v>
      </c>
      <c r="H313" s="11">
        <v>2.4282246E7</v>
      </c>
      <c r="I313" s="2" t="s">
        <v>414</v>
      </c>
      <c r="J313" s="2" t="s">
        <v>69</v>
      </c>
      <c r="K313" s="2" t="s">
        <v>42</v>
      </c>
      <c r="L313" s="2">
        <v>50.0</v>
      </c>
      <c r="N313" s="11">
        <v>379410.0</v>
      </c>
      <c r="O313" s="4">
        <v>45778.0</v>
      </c>
      <c r="P313" s="2" t="b">
        <v>0</v>
      </c>
    </row>
    <row r="314">
      <c r="A314" s="2" t="s">
        <v>416</v>
      </c>
      <c r="B314" s="2" t="s">
        <v>204</v>
      </c>
      <c r="C314" s="2" t="s">
        <v>28</v>
      </c>
      <c r="D314" s="2" t="s">
        <v>67</v>
      </c>
      <c r="E314" s="2">
        <v>36.0</v>
      </c>
      <c r="F314" s="3">
        <v>45647.0</v>
      </c>
      <c r="G314" s="2" t="s">
        <v>414</v>
      </c>
      <c r="H314" s="11">
        <v>2.303598E7</v>
      </c>
      <c r="I314" s="2" t="s">
        <v>414</v>
      </c>
      <c r="J314" s="2" t="s">
        <v>34</v>
      </c>
      <c r="K314" s="2" t="s">
        <v>25</v>
      </c>
      <c r="L314" s="2">
        <v>53.0</v>
      </c>
      <c r="N314" s="11">
        <v>639888.0</v>
      </c>
      <c r="O314" s="6">
        <v>45627.0</v>
      </c>
      <c r="P314" s="2" t="b">
        <v>0</v>
      </c>
    </row>
    <row r="315">
      <c r="A315" s="2" t="s">
        <v>417</v>
      </c>
      <c r="B315" s="2" t="s">
        <v>17</v>
      </c>
      <c r="C315" s="2" t="s">
        <v>40</v>
      </c>
      <c r="D315" s="2" t="s">
        <v>81</v>
      </c>
      <c r="E315" s="2">
        <v>4841.0</v>
      </c>
      <c r="F315" s="3">
        <v>45429.0</v>
      </c>
      <c r="G315" s="3">
        <v>45458.0</v>
      </c>
      <c r="H315" s="11">
        <v>6.8479528E8</v>
      </c>
      <c r="I315" s="2">
        <v>6.5398595E8</v>
      </c>
      <c r="J315" s="2" t="s">
        <v>20</v>
      </c>
      <c r="K315" s="2" t="s">
        <v>25</v>
      </c>
      <c r="L315" s="2">
        <v>127.0</v>
      </c>
      <c r="M315" s="2">
        <v>29.0</v>
      </c>
      <c r="N315" s="11">
        <v>141457.0</v>
      </c>
      <c r="O315" s="4">
        <v>45413.0</v>
      </c>
      <c r="P315" s="2" t="b">
        <v>1</v>
      </c>
    </row>
    <row r="316">
      <c r="A316" s="2" t="s">
        <v>418</v>
      </c>
      <c r="B316" s="2" t="s">
        <v>160</v>
      </c>
      <c r="C316" s="2" t="s">
        <v>28</v>
      </c>
      <c r="D316" s="2" t="s">
        <v>29</v>
      </c>
      <c r="E316" s="2">
        <v>2050.0</v>
      </c>
      <c r="F316" s="3">
        <v>45661.0</v>
      </c>
      <c r="G316" s="3">
        <v>45758.0</v>
      </c>
      <c r="H316" s="11">
        <v>6.85185977E8</v>
      </c>
      <c r="I316" s="2">
        <v>6.46564731E8</v>
      </c>
      <c r="J316" s="2" t="s">
        <v>20</v>
      </c>
      <c r="K316" s="2" t="s">
        <v>42</v>
      </c>
      <c r="L316" s="2">
        <v>33.0</v>
      </c>
      <c r="M316" s="2">
        <v>97.0</v>
      </c>
      <c r="N316" s="11">
        <v>334237.0</v>
      </c>
      <c r="O316" s="4">
        <v>45658.0</v>
      </c>
      <c r="P316" s="2" t="b">
        <v>1</v>
      </c>
    </row>
    <row r="317">
      <c r="A317" s="2" t="s">
        <v>419</v>
      </c>
      <c r="B317" s="2" t="s">
        <v>142</v>
      </c>
      <c r="C317" s="2" t="s">
        <v>40</v>
      </c>
      <c r="D317" s="2" t="s">
        <v>67</v>
      </c>
      <c r="E317" s="2">
        <v>27.0</v>
      </c>
      <c r="F317" s="3">
        <v>45891.0</v>
      </c>
      <c r="G317" s="2" t="s">
        <v>414</v>
      </c>
      <c r="H317" s="11">
        <v>4207200.0</v>
      </c>
      <c r="I317" s="2">
        <v>4073757.0</v>
      </c>
      <c r="J317" s="2" t="s">
        <v>20</v>
      </c>
      <c r="K317" s="2" t="s">
        <v>42</v>
      </c>
      <c r="L317" s="2">
        <v>45.0</v>
      </c>
      <c r="M317" s="2">
        <v>165.0</v>
      </c>
      <c r="N317" s="11">
        <v>155822.0</v>
      </c>
      <c r="O317" s="4">
        <v>45870.0</v>
      </c>
      <c r="P317" s="2" t="b">
        <v>1</v>
      </c>
    </row>
    <row r="318">
      <c r="A318" s="2" t="s">
        <v>420</v>
      </c>
      <c r="B318" s="2" t="s">
        <v>349</v>
      </c>
      <c r="C318" s="2" t="s">
        <v>57</v>
      </c>
      <c r="D318" s="2" t="s">
        <v>49</v>
      </c>
      <c r="E318" s="2">
        <v>252.0</v>
      </c>
      <c r="F318" s="3">
        <v>45251.0</v>
      </c>
      <c r="G318" s="3">
        <v>45409.0</v>
      </c>
      <c r="H318" s="11">
        <v>1.27281677E8</v>
      </c>
      <c r="I318" s="2">
        <v>1.36015138E8</v>
      </c>
      <c r="J318" s="2" t="s">
        <v>20</v>
      </c>
      <c r="K318" s="2" t="s">
        <v>30</v>
      </c>
      <c r="L318" s="2">
        <v>62.0</v>
      </c>
      <c r="M318" s="2">
        <v>158.0</v>
      </c>
      <c r="N318" s="11">
        <v>505086.0</v>
      </c>
      <c r="O318" s="6">
        <v>45231.0</v>
      </c>
      <c r="P318" s="2" t="b">
        <v>1</v>
      </c>
    </row>
    <row r="319">
      <c r="A319" s="2" t="s">
        <v>421</v>
      </c>
      <c r="B319" s="2" t="s">
        <v>220</v>
      </c>
      <c r="C319" s="2" t="s">
        <v>18</v>
      </c>
      <c r="D319" s="2" t="s">
        <v>102</v>
      </c>
      <c r="E319" s="2">
        <v>148.0</v>
      </c>
      <c r="F319" s="3">
        <v>45632.0</v>
      </c>
      <c r="G319" s="3">
        <v>45692.0</v>
      </c>
      <c r="H319" s="11">
        <v>5.9131377E7</v>
      </c>
      <c r="I319" s="2">
        <v>6.337737E7</v>
      </c>
      <c r="J319" s="2" t="s">
        <v>20</v>
      </c>
      <c r="K319" s="2" t="s">
        <v>25</v>
      </c>
      <c r="L319" s="2">
        <v>105.0</v>
      </c>
      <c r="M319" s="2">
        <v>60.0</v>
      </c>
      <c r="N319" s="11">
        <v>399536.0</v>
      </c>
      <c r="O319" s="6">
        <v>45627.0</v>
      </c>
      <c r="P319" s="2" t="b">
        <v>1</v>
      </c>
    </row>
    <row r="320">
      <c r="A320" s="2" t="s">
        <v>422</v>
      </c>
      <c r="B320" s="2" t="s">
        <v>44</v>
      </c>
      <c r="C320" s="2" t="s">
        <v>40</v>
      </c>
      <c r="D320" s="2" t="s">
        <v>29</v>
      </c>
      <c r="E320" s="2">
        <v>665.0</v>
      </c>
      <c r="F320" s="3">
        <v>45252.0</v>
      </c>
      <c r="G320" s="2" t="s">
        <v>414</v>
      </c>
      <c r="H320" s="11">
        <v>7.0200915E7</v>
      </c>
      <c r="I320" s="2" t="s">
        <v>414</v>
      </c>
      <c r="J320" s="2" t="s">
        <v>34</v>
      </c>
      <c r="K320" s="2" t="s">
        <v>25</v>
      </c>
      <c r="L320" s="2">
        <v>31.0</v>
      </c>
      <c r="N320" s="11">
        <v>105565.0</v>
      </c>
      <c r="O320" s="6">
        <v>45231.0</v>
      </c>
      <c r="P320" s="2" t="b">
        <v>0</v>
      </c>
    </row>
    <row r="321">
      <c r="A321" s="2" t="s">
        <v>423</v>
      </c>
      <c r="B321" s="2" t="s">
        <v>227</v>
      </c>
      <c r="C321" s="2" t="s">
        <v>93</v>
      </c>
      <c r="D321" s="2" t="s">
        <v>102</v>
      </c>
      <c r="E321" s="2">
        <v>142.0</v>
      </c>
      <c r="F321" s="3">
        <v>45282.0</v>
      </c>
      <c r="G321" s="2" t="s">
        <v>414</v>
      </c>
      <c r="H321" s="11">
        <v>5.8813278E7</v>
      </c>
      <c r="I321" s="2" t="s">
        <v>414</v>
      </c>
      <c r="J321" s="2" t="s">
        <v>41</v>
      </c>
      <c r="K321" s="2" t="s">
        <v>21</v>
      </c>
      <c r="L321" s="2">
        <v>176.0</v>
      </c>
      <c r="N321" s="11">
        <v>414178.0</v>
      </c>
      <c r="O321" s="6">
        <v>45261.0</v>
      </c>
      <c r="P321" s="2" t="b">
        <v>0</v>
      </c>
    </row>
    <row r="322">
      <c r="A322" s="2" t="s">
        <v>424</v>
      </c>
      <c r="B322" s="2" t="s">
        <v>46</v>
      </c>
      <c r="C322" s="2" t="s">
        <v>18</v>
      </c>
      <c r="D322" s="2" t="s">
        <v>67</v>
      </c>
      <c r="E322" s="2">
        <v>39.0</v>
      </c>
      <c r="F322" s="3">
        <v>45141.0</v>
      </c>
      <c r="G322" s="3">
        <v>45173.0</v>
      </c>
      <c r="H322" s="11">
        <v>7569031.0</v>
      </c>
      <c r="I322" s="2">
        <v>7916625.0</v>
      </c>
      <c r="J322" s="2" t="s">
        <v>20</v>
      </c>
      <c r="K322" s="2" t="s">
        <v>21</v>
      </c>
      <c r="L322" s="2">
        <v>17.0</v>
      </c>
      <c r="M322" s="2">
        <v>32.0</v>
      </c>
      <c r="N322" s="11">
        <v>194078.0</v>
      </c>
      <c r="O322" s="4">
        <v>45139.0</v>
      </c>
      <c r="P322" s="2" t="b">
        <v>1</v>
      </c>
    </row>
    <row r="323">
      <c r="A323" s="2" t="s">
        <v>425</v>
      </c>
      <c r="B323" s="2" t="s">
        <v>284</v>
      </c>
      <c r="C323" s="2" t="s">
        <v>24</v>
      </c>
      <c r="D323" s="2" t="s">
        <v>49</v>
      </c>
      <c r="E323" s="2">
        <v>298.0</v>
      </c>
      <c r="F323" s="3">
        <v>45431.0</v>
      </c>
      <c r="G323" s="2" t="s">
        <v>414</v>
      </c>
      <c r="H323" s="11">
        <v>2.89731311E8</v>
      </c>
      <c r="I323" s="2" t="s">
        <v>414</v>
      </c>
      <c r="J323" s="2" t="s">
        <v>69</v>
      </c>
      <c r="K323" s="2" t="s">
        <v>21</v>
      </c>
      <c r="L323" s="2">
        <v>127.0</v>
      </c>
      <c r="N323" s="11">
        <v>972253.0</v>
      </c>
      <c r="O323" s="4">
        <v>45413.0</v>
      </c>
      <c r="P323" s="2" t="b">
        <v>0</v>
      </c>
    </row>
    <row r="324">
      <c r="A324" s="2" t="s">
        <v>426</v>
      </c>
      <c r="B324" s="2" t="s">
        <v>284</v>
      </c>
      <c r="C324" s="2" t="s">
        <v>57</v>
      </c>
      <c r="D324" s="2" t="s">
        <v>29</v>
      </c>
      <c r="E324" s="2">
        <v>2247.0</v>
      </c>
      <c r="F324" s="3">
        <v>45002.0</v>
      </c>
      <c r="G324" s="2" t="s">
        <v>414</v>
      </c>
      <c r="H324" s="11">
        <v>3.13201996E8</v>
      </c>
      <c r="I324" s="2" t="s">
        <v>414</v>
      </c>
      <c r="J324" s="2" t="s">
        <v>41</v>
      </c>
      <c r="K324" s="2" t="s">
        <v>30</v>
      </c>
      <c r="L324" s="2">
        <v>71.0</v>
      </c>
      <c r="N324" s="11">
        <v>139387.0</v>
      </c>
      <c r="O324" s="4">
        <v>44986.0</v>
      </c>
      <c r="P324" s="2" t="b">
        <v>0</v>
      </c>
    </row>
    <row r="325">
      <c r="A325" s="2" t="s">
        <v>427</v>
      </c>
      <c r="B325" s="2" t="s">
        <v>284</v>
      </c>
      <c r="C325" s="2" t="s">
        <v>101</v>
      </c>
      <c r="D325" s="2" t="s">
        <v>33</v>
      </c>
      <c r="E325" s="2">
        <v>86.0</v>
      </c>
      <c r="F325" s="3">
        <v>45091.0</v>
      </c>
      <c r="G325" s="2" t="s">
        <v>414</v>
      </c>
      <c r="H325" s="11">
        <v>2.8484755E7</v>
      </c>
      <c r="I325" s="2" t="s">
        <v>414</v>
      </c>
      <c r="J325" s="2" t="s">
        <v>34</v>
      </c>
      <c r="K325" s="2" t="s">
        <v>21</v>
      </c>
      <c r="L325" s="2">
        <v>91.0</v>
      </c>
      <c r="N325" s="11">
        <v>331218.0</v>
      </c>
      <c r="O325" s="4">
        <v>45078.0</v>
      </c>
      <c r="P325" s="2" t="b">
        <v>0</v>
      </c>
    </row>
    <row r="326">
      <c r="A326" s="2" t="s">
        <v>428</v>
      </c>
      <c r="B326" s="2" t="s">
        <v>104</v>
      </c>
      <c r="C326" s="2" t="s">
        <v>64</v>
      </c>
      <c r="D326" s="2" t="s">
        <v>29</v>
      </c>
      <c r="E326" s="2">
        <v>4354.0</v>
      </c>
      <c r="F326" s="3">
        <v>45892.0</v>
      </c>
      <c r="G326" s="2" t="s">
        <v>414</v>
      </c>
      <c r="H326" s="11">
        <v>1.063225094E9</v>
      </c>
      <c r="I326" s="2">
        <v>1.004892955E9</v>
      </c>
      <c r="J326" s="2" t="s">
        <v>20</v>
      </c>
      <c r="K326" s="2" t="s">
        <v>21</v>
      </c>
      <c r="L326" s="2">
        <v>89.0</v>
      </c>
      <c r="M326" s="2">
        <v>170.0</v>
      </c>
      <c r="N326" s="11">
        <v>244195.0</v>
      </c>
      <c r="O326" s="4">
        <v>45870.0</v>
      </c>
      <c r="P326" s="2" t="b">
        <v>1</v>
      </c>
    </row>
    <row r="327">
      <c r="A327" s="2" t="s">
        <v>429</v>
      </c>
      <c r="B327" s="2" t="s">
        <v>165</v>
      </c>
      <c r="C327" s="2" t="s">
        <v>28</v>
      </c>
      <c r="D327" s="2" t="s">
        <v>72</v>
      </c>
      <c r="E327" s="2">
        <v>284.0</v>
      </c>
      <c r="F327" s="3">
        <v>45874.0</v>
      </c>
      <c r="G327" s="2" t="s">
        <v>414</v>
      </c>
      <c r="H327" s="11">
        <v>4.84159198E8</v>
      </c>
      <c r="I327" s="2" t="s">
        <v>414</v>
      </c>
      <c r="J327" s="2" t="s">
        <v>69</v>
      </c>
      <c r="K327" s="2" t="s">
        <v>30</v>
      </c>
      <c r="L327" s="2">
        <v>65.0</v>
      </c>
      <c r="N327" s="11">
        <v>1704786.0</v>
      </c>
      <c r="O327" s="4">
        <v>45870.0</v>
      </c>
      <c r="P327" s="2" t="b">
        <v>0</v>
      </c>
    </row>
    <row r="328">
      <c r="A328" s="2" t="s">
        <v>430</v>
      </c>
      <c r="B328" s="2" t="s">
        <v>66</v>
      </c>
      <c r="C328" s="2" t="s">
        <v>28</v>
      </c>
      <c r="D328" s="2" t="s">
        <v>49</v>
      </c>
      <c r="E328" s="2">
        <v>196.0</v>
      </c>
      <c r="F328" s="3">
        <v>45084.0</v>
      </c>
      <c r="G328" s="3">
        <v>45099.0</v>
      </c>
      <c r="H328" s="11">
        <v>2.38147925E8</v>
      </c>
      <c r="I328" s="2">
        <v>2.30319505E8</v>
      </c>
      <c r="J328" s="2" t="s">
        <v>20</v>
      </c>
      <c r="K328" s="2" t="s">
        <v>25</v>
      </c>
      <c r="L328" s="2">
        <v>127.0</v>
      </c>
      <c r="M328" s="2">
        <v>15.0</v>
      </c>
      <c r="N328" s="11">
        <v>1215040.0</v>
      </c>
      <c r="O328" s="4">
        <v>45078.0</v>
      </c>
      <c r="P328" s="2" t="b">
        <v>1</v>
      </c>
    </row>
    <row r="329">
      <c r="A329" s="2" t="s">
        <v>431</v>
      </c>
      <c r="B329" s="2" t="s">
        <v>71</v>
      </c>
      <c r="C329" s="2" t="s">
        <v>28</v>
      </c>
      <c r="D329" s="2" t="s">
        <v>19</v>
      </c>
      <c r="E329" s="2">
        <v>46.0</v>
      </c>
      <c r="F329" s="3">
        <v>45225.0</v>
      </c>
      <c r="G329" s="2" t="s">
        <v>414</v>
      </c>
      <c r="H329" s="11">
        <v>3.9466816E7</v>
      </c>
      <c r="I329" s="2" t="s">
        <v>414</v>
      </c>
      <c r="J329" s="2" t="s">
        <v>69</v>
      </c>
      <c r="K329" s="2" t="s">
        <v>30</v>
      </c>
      <c r="L329" s="2">
        <v>106.0</v>
      </c>
      <c r="N329" s="11">
        <v>857974.0</v>
      </c>
      <c r="O329" s="6">
        <v>45200.0</v>
      </c>
      <c r="P329" s="2" t="b">
        <v>0</v>
      </c>
    </row>
    <row r="330">
      <c r="A330" s="2" t="s">
        <v>432</v>
      </c>
      <c r="B330" s="2" t="s">
        <v>66</v>
      </c>
      <c r="C330" s="2" t="s">
        <v>64</v>
      </c>
      <c r="D330" s="2" t="s">
        <v>37</v>
      </c>
      <c r="E330" s="2">
        <v>346.0</v>
      </c>
      <c r="F330" s="3">
        <v>45116.0</v>
      </c>
      <c r="G330" s="3">
        <v>45228.0</v>
      </c>
      <c r="H330" s="11">
        <v>3.41772938E8</v>
      </c>
      <c r="I330" s="2">
        <v>3.3880773E8</v>
      </c>
      <c r="J330" s="2" t="s">
        <v>20</v>
      </c>
      <c r="K330" s="2" t="s">
        <v>30</v>
      </c>
      <c r="L330" s="2">
        <v>117.0</v>
      </c>
      <c r="M330" s="2">
        <v>112.0</v>
      </c>
      <c r="N330" s="11">
        <v>987783.0</v>
      </c>
      <c r="O330" s="4">
        <v>45108.0</v>
      </c>
      <c r="P330" s="2" t="b">
        <v>1</v>
      </c>
    </row>
    <row r="331">
      <c r="A331" s="2" t="s">
        <v>433</v>
      </c>
      <c r="B331" s="2" t="s">
        <v>204</v>
      </c>
      <c r="C331" s="2" t="s">
        <v>64</v>
      </c>
      <c r="D331" s="2" t="s">
        <v>72</v>
      </c>
      <c r="E331" s="2">
        <v>248.0</v>
      </c>
      <c r="F331" s="3">
        <v>45081.0</v>
      </c>
      <c r="G331" s="2" t="s">
        <v>414</v>
      </c>
      <c r="H331" s="11">
        <v>1.78518249E8</v>
      </c>
      <c r="I331" s="2" t="s">
        <v>414</v>
      </c>
      <c r="J331" s="2" t="s">
        <v>34</v>
      </c>
      <c r="K331" s="2" t="s">
        <v>30</v>
      </c>
      <c r="L331" s="2">
        <v>143.0</v>
      </c>
      <c r="N331" s="11">
        <v>719832.0</v>
      </c>
      <c r="O331" s="4">
        <v>45078.0</v>
      </c>
      <c r="P331" s="2" t="b">
        <v>0</v>
      </c>
    </row>
    <row r="332">
      <c r="A332" s="2" t="s">
        <v>434</v>
      </c>
      <c r="B332" s="2" t="s">
        <v>60</v>
      </c>
      <c r="C332" s="2" t="s">
        <v>24</v>
      </c>
      <c r="D332" s="2" t="s">
        <v>29</v>
      </c>
      <c r="E332" s="2">
        <v>2263.0</v>
      </c>
      <c r="F332" s="3">
        <v>45787.0</v>
      </c>
      <c r="G332" s="3">
        <v>45935.0</v>
      </c>
      <c r="H332" s="11">
        <v>6.73480008E8</v>
      </c>
      <c r="I332" s="2">
        <v>6.77306927E8</v>
      </c>
      <c r="J332" s="2" t="s">
        <v>20</v>
      </c>
      <c r="K332" s="2" t="s">
        <v>73</v>
      </c>
      <c r="L332" s="2">
        <v>151.0</v>
      </c>
      <c r="M332" s="2">
        <v>148.0</v>
      </c>
      <c r="N332" s="11">
        <v>297605.0</v>
      </c>
      <c r="O332" s="4">
        <v>45778.0</v>
      </c>
      <c r="P332" s="2" t="b">
        <v>1</v>
      </c>
    </row>
    <row r="333">
      <c r="A333" s="2" t="s">
        <v>435</v>
      </c>
      <c r="B333" s="2" t="s">
        <v>178</v>
      </c>
      <c r="C333" s="2" t="s">
        <v>40</v>
      </c>
      <c r="D333" s="2" t="s">
        <v>81</v>
      </c>
      <c r="E333" s="2">
        <v>2848.0</v>
      </c>
      <c r="F333" s="3">
        <v>45851.0</v>
      </c>
      <c r="G333" s="2" t="s">
        <v>414</v>
      </c>
      <c r="H333" s="11">
        <v>4.48919099E8</v>
      </c>
      <c r="I333" s="2" t="s">
        <v>414</v>
      </c>
      <c r="J333" s="2" t="s">
        <v>41</v>
      </c>
      <c r="K333" s="2" t="s">
        <v>25</v>
      </c>
      <c r="L333" s="2">
        <v>151.0</v>
      </c>
      <c r="N333" s="11">
        <v>157626.0</v>
      </c>
      <c r="O333" s="4">
        <v>45839.0</v>
      </c>
      <c r="P333" s="2" t="b">
        <v>0</v>
      </c>
    </row>
    <row r="334">
      <c r="A334" s="2" t="s">
        <v>436</v>
      </c>
      <c r="B334" s="2" t="s">
        <v>178</v>
      </c>
      <c r="C334" s="2" t="s">
        <v>18</v>
      </c>
      <c r="D334" s="2" t="s">
        <v>29</v>
      </c>
      <c r="E334" s="2">
        <v>1607.0</v>
      </c>
      <c r="F334" s="3">
        <v>45104.0</v>
      </c>
      <c r="G334" s="2" t="s">
        <v>414</v>
      </c>
      <c r="H334" s="11">
        <v>2.50848055E8</v>
      </c>
      <c r="I334" s="2" t="s">
        <v>414</v>
      </c>
      <c r="J334" s="2" t="s">
        <v>41</v>
      </c>
      <c r="K334" s="2" t="s">
        <v>42</v>
      </c>
      <c r="L334" s="2">
        <v>37.0</v>
      </c>
      <c r="N334" s="11">
        <v>156097.0</v>
      </c>
      <c r="O334" s="4">
        <v>45078.0</v>
      </c>
      <c r="P334" s="2" t="b">
        <v>0</v>
      </c>
    </row>
    <row r="335">
      <c r="A335" s="2" t="s">
        <v>437</v>
      </c>
      <c r="B335" s="2" t="s">
        <v>323</v>
      </c>
      <c r="C335" s="2" t="s">
        <v>28</v>
      </c>
      <c r="D335" s="2" t="s">
        <v>33</v>
      </c>
      <c r="E335" s="2">
        <v>108.0</v>
      </c>
      <c r="F335" s="3">
        <v>45769.0</v>
      </c>
      <c r="G335" s="3">
        <v>45936.0</v>
      </c>
      <c r="H335" s="11">
        <v>8.7499587E7</v>
      </c>
      <c r="I335" s="2">
        <v>9.3250822E7</v>
      </c>
      <c r="J335" s="2" t="s">
        <v>20</v>
      </c>
      <c r="K335" s="2" t="s">
        <v>21</v>
      </c>
      <c r="L335" s="2">
        <v>27.0</v>
      </c>
      <c r="M335" s="2">
        <v>167.0</v>
      </c>
      <c r="N335" s="11">
        <v>810181.0</v>
      </c>
      <c r="O335" s="4">
        <v>45748.0</v>
      </c>
      <c r="P335" s="2" t="b">
        <v>1</v>
      </c>
    </row>
    <row r="336">
      <c r="A336" s="2" t="s">
        <v>438</v>
      </c>
      <c r="B336" s="2" t="s">
        <v>106</v>
      </c>
      <c r="C336" s="2" t="s">
        <v>24</v>
      </c>
      <c r="D336" s="2" t="s">
        <v>49</v>
      </c>
      <c r="E336" s="2">
        <v>191.0</v>
      </c>
      <c r="F336" s="3">
        <v>45459.0</v>
      </c>
      <c r="G336" s="3">
        <v>45477.0</v>
      </c>
      <c r="H336" s="11">
        <v>2.02422646E8</v>
      </c>
      <c r="I336" s="2">
        <v>2.06408199E8</v>
      </c>
      <c r="J336" s="2" t="s">
        <v>20</v>
      </c>
      <c r="K336" s="2" t="s">
        <v>25</v>
      </c>
      <c r="L336" s="2">
        <v>112.0</v>
      </c>
      <c r="M336" s="2">
        <v>18.0</v>
      </c>
      <c r="N336" s="11">
        <v>1059804.0</v>
      </c>
      <c r="O336" s="4">
        <v>45444.0</v>
      </c>
      <c r="P336" s="2" t="b">
        <v>1</v>
      </c>
    </row>
    <row r="337">
      <c r="A337" s="2" t="s">
        <v>439</v>
      </c>
      <c r="B337" s="2" t="s">
        <v>109</v>
      </c>
      <c r="C337" s="2" t="s">
        <v>28</v>
      </c>
      <c r="D337" s="2" t="s">
        <v>102</v>
      </c>
      <c r="E337" s="2">
        <v>118.0</v>
      </c>
      <c r="F337" s="3">
        <v>45523.0</v>
      </c>
      <c r="G337" s="2" t="s">
        <v>414</v>
      </c>
      <c r="H337" s="11">
        <v>1.52953897E8</v>
      </c>
      <c r="I337" s="2" t="s">
        <v>414</v>
      </c>
      <c r="J337" s="2" t="s">
        <v>41</v>
      </c>
      <c r="K337" s="2" t="s">
        <v>25</v>
      </c>
      <c r="L337" s="2">
        <v>30.0</v>
      </c>
      <c r="N337" s="11">
        <v>1296219.0</v>
      </c>
      <c r="O337" s="4">
        <v>45505.0</v>
      </c>
      <c r="P337" s="2" t="b">
        <v>0</v>
      </c>
    </row>
    <row r="338">
      <c r="A338" s="2" t="s">
        <v>440</v>
      </c>
      <c r="B338" s="2" t="s">
        <v>123</v>
      </c>
      <c r="C338" s="2" t="s">
        <v>57</v>
      </c>
      <c r="D338" s="2" t="s">
        <v>58</v>
      </c>
      <c r="E338" s="2">
        <v>275.0</v>
      </c>
      <c r="F338" s="3">
        <v>45197.0</v>
      </c>
      <c r="G338" s="3">
        <v>45336.0</v>
      </c>
      <c r="H338" s="11">
        <v>1.04428739E8</v>
      </c>
      <c r="I338" s="2">
        <v>1.03978385E8</v>
      </c>
      <c r="J338" s="2" t="s">
        <v>20</v>
      </c>
      <c r="K338" s="2" t="s">
        <v>42</v>
      </c>
      <c r="L338" s="2">
        <v>75.0</v>
      </c>
      <c r="M338" s="2">
        <v>139.0</v>
      </c>
      <c r="N338" s="11">
        <v>379741.0</v>
      </c>
      <c r="O338" s="4">
        <v>45170.0</v>
      </c>
      <c r="P338" s="2" t="b">
        <v>1</v>
      </c>
    </row>
    <row r="339">
      <c r="A339" s="2" t="s">
        <v>441</v>
      </c>
      <c r="B339" s="2" t="s">
        <v>104</v>
      </c>
      <c r="C339" s="2" t="s">
        <v>24</v>
      </c>
      <c r="D339" s="2" t="s">
        <v>29</v>
      </c>
      <c r="E339" s="2">
        <v>3690.0</v>
      </c>
      <c r="F339" s="3">
        <v>45837.0</v>
      </c>
      <c r="G339" s="2" t="s">
        <v>414</v>
      </c>
      <c r="H339" s="11">
        <v>1.019996358E9</v>
      </c>
      <c r="I339" s="2" t="s">
        <v>414</v>
      </c>
      <c r="J339" s="2" t="s">
        <v>34</v>
      </c>
      <c r="K339" s="2" t="s">
        <v>73</v>
      </c>
      <c r="L339" s="2">
        <v>73.0</v>
      </c>
      <c r="N339" s="11">
        <v>276422.0</v>
      </c>
      <c r="O339" s="4">
        <v>45809.0</v>
      </c>
      <c r="P339" s="2" t="b">
        <v>0</v>
      </c>
    </row>
    <row r="340">
      <c r="A340" s="2" t="s">
        <v>442</v>
      </c>
      <c r="B340" s="2" t="s">
        <v>256</v>
      </c>
      <c r="C340" s="2" t="s">
        <v>40</v>
      </c>
      <c r="D340" s="2" t="s">
        <v>19</v>
      </c>
      <c r="E340" s="2">
        <v>50.0</v>
      </c>
      <c r="F340" s="3">
        <v>45214.0</v>
      </c>
      <c r="G340" s="2" t="s">
        <v>414</v>
      </c>
      <c r="H340" s="11">
        <v>1.1941871E7</v>
      </c>
      <c r="I340" s="2" t="s">
        <v>414</v>
      </c>
      <c r="J340" s="2" t="s">
        <v>34</v>
      </c>
      <c r="K340" s="2" t="s">
        <v>42</v>
      </c>
      <c r="L340" s="2">
        <v>39.0</v>
      </c>
      <c r="N340" s="11">
        <v>238837.0</v>
      </c>
      <c r="O340" s="6">
        <v>45200.0</v>
      </c>
      <c r="P340" s="2" t="b">
        <v>0</v>
      </c>
    </row>
    <row r="341">
      <c r="A341" s="2" t="s">
        <v>443</v>
      </c>
      <c r="B341" s="2" t="s">
        <v>220</v>
      </c>
      <c r="C341" s="2" t="s">
        <v>24</v>
      </c>
      <c r="D341" s="2" t="s">
        <v>81</v>
      </c>
      <c r="E341" s="2">
        <v>3028.0</v>
      </c>
      <c r="F341" s="3">
        <v>45353.0</v>
      </c>
      <c r="G341" s="3">
        <v>45390.0</v>
      </c>
      <c r="H341" s="11">
        <v>1.092556806E9</v>
      </c>
      <c r="I341" s="2">
        <v>1.042105242E9</v>
      </c>
      <c r="J341" s="2" t="s">
        <v>20</v>
      </c>
      <c r="K341" s="2" t="s">
        <v>73</v>
      </c>
      <c r="L341" s="2">
        <v>129.0</v>
      </c>
      <c r="M341" s="2">
        <v>37.0</v>
      </c>
      <c r="N341" s="11">
        <v>360818.0</v>
      </c>
      <c r="O341" s="4">
        <v>45352.0</v>
      </c>
      <c r="P341" s="2" t="b">
        <v>1</v>
      </c>
    </row>
    <row r="342">
      <c r="A342" s="2" t="s">
        <v>444</v>
      </c>
      <c r="B342" s="2" t="s">
        <v>84</v>
      </c>
      <c r="C342" s="2" t="s">
        <v>57</v>
      </c>
      <c r="D342" s="2" t="s">
        <v>67</v>
      </c>
      <c r="E342" s="2">
        <v>26.0</v>
      </c>
      <c r="F342" s="3">
        <v>44994.0</v>
      </c>
      <c r="G342" s="3">
        <v>45138.0</v>
      </c>
      <c r="H342" s="11">
        <v>5890126.0</v>
      </c>
      <c r="I342" s="2">
        <v>6154490.0</v>
      </c>
      <c r="J342" s="2" t="s">
        <v>20</v>
      </c>
      <c r="K342" s="2" t="s">
        <v>25</v>
      </c>
      <c r="L342" s="2">
        <v>150.0</v>
      </c>
      <c r="M342" s="2">
        <v>144.0</v>
      </c>
      <c r="N342" s="11">
        <v>226543.0</v>
      </c>
      <c r="O342" s="4">
        <v>44986.0</v>
      </c>
      <c r="P342" s="2" t="b">
        <v>1</v>
      </c>
    </row>
    <row r="343">
      <c r="A343" s="2" t="s">
        <v>445</v>
      </c>
      <c r="B343" s="2" t="s">
        <v>27</v>
      </c>
      <c r="C343" s="2" t="s">
        <v>28</v>
      </c>
      <c r="D343" s="2" t="s">
        <v>72</v>
      </c>
      <c r="E343" s="2">
        <v>231.0</v>
      </c>
      <c r="F343" s="3">
        <v>44960.0</v>
      </c>
      <c r="G343" s="3">
        <v>45067.0</v>
      </c>
      <c r="H343" s="11">
        <v>4.0003101E8</v>
      </c>
      <c r="I343" s="2">
        <v>3.85564448E8</v>
      </c>
      <c r="J343" s="2" t="s">
        <v>20</v>
      </c>
      <c r="K343" s="2" t="s">
        <v>73</v>
      </c>
      <c r="L343" s="2">
        <v>134.0</v>
      </c>
      <c r="M343" s="2">
        <v>107.0</v>
      </c>
      <c r="N343" s="11">
        <v>1731736.0</v>
      </c>
      <c r="O343" s="4">
        <v>44958.0</v>
      </c>
      <c r="P343" s="2" t="b">
        <v>1</v>
      </c>
    </row>
    <row r="344">
      <c r="A344" s="2" t="s">
        <v>446</v>
      </c>
      <c r="B344" s="2" t="s">
        <v>27</v>
      </c>
      <c r="C344" s="2" t="s">
        <v>24</v>
      </c>
      <c r="D344" s="2" t="s">
        <v>33</v>
      </c>
      <c r="E344" s="2">
        <v>108.0</v>
      </c>
      <c r="F344" s="3">
        <v>45308.0</v>
      </c>
      <c r="G344" s="3">
        <v>45437.0</v>
      </c>
      <c r="H344" s="11">
        <v>6.465655E7</v>
      </c>
      <c r="I344" s="2">
        <v>6.8489191E7</v>
      </c>
      <c r="J344" s="2" t="s">
        <v>20</v>
      </c>
      <c r="K344" s="2" t="s">
        <v>25</v>
      </c>
      <c r="L344" s="2">
        <v>146.0</v>
      </c>
      <c r="M344" s="2">
        <v>129.0</v>
      </c>
      <c r="N344" s="11">
        <v>598672.0</v>
      </c>
      <c r="O344" s="4">
        <v>45292.0</v>
      </c>
      <c r="P344" s="2" t="b">
        <v>1</v>
      </c>
    </row>
    <row r="345">
      <c r="A345" s="2" t="s">
        <v>447</v>
      </c>
      <c r="B345" s="2" t="s">
        <v>99</v>
      </c>
      <c r="C345" s="2" t="s">
        <v>24</v>
      </c>
      <c r="D345" s="2" t="s">
        <v>102</v>
      </c>
      <c r="E345" s="2">
        <v>133.0</v>
      </c>
      <c r="F345" s="3">
        <v>44955.0</v>
      </c>
      <c r="G345" s="3">
        <v>45011.0</v>
      </c>
      <c r="H345" s="11">
        <v>1.28759551E8</v>
      </c>
      <c r="I345" s="2">
        <v>1.34524479E8</v>
      </c>
      <c r="J345" s="2" t="s">
        <v>20</v>
      </c>
      <c r="K345" s="2" t="s">
        <v>42</v>
      </c>
      <c r="L345" s="2">
        <v>61.0</v>
      </c>
      <c r="M345" s="2">
        <v>56.0</v>
      </c>
      <c r="N345" s="11">
        <v>968117.0</v>
      </c>
      <c r="O345" s="4">
        <v>44927.0</v>
      </c>
      <c r="P345" s="2" t="b">
        <v>1</v>
      </c>
    </row>
    <row r="346">
      <c r="A346" s="2" t="s">
        <v>448</v>
      </c>
      <c r="B346" s="2" t="s">
        <v>52</v>
      </c>
      <c r="C346" s="2" t="s">
        <v>18</v>
      </c>
      <c r="D346" s="2" t="s">
        <v>72</v>
      </c>
      <c r="E346" s="2">
        <v>248.0</v>
      </c>
      <c r="F346" s="3">
        <v>44947.0</v>
      </c>
      <c r="G346" s="2" t="s">
        <v>414</v>
      </c>
      <c r="H346" s="11">
        <v>1.0668807E8</v>
      </c>
      <c r="I346" s="2" t="s">
        <v>414</v>
      </c>
      <c r="J346" s="2" t="s">
        <v>34</v>
      </c>
      <c r="K346" s="2" t="s">
        <v>42</v>
      </c>
      <c r="L346" s="2">
        <v>170.0</v>
      </c>
      <c r="N346" s="11">
        <v>430194.0</v>
      </c>
      <c r="O346" s="4">
        <v>44927.0</v>
      </c>
      <c r="P346" s="2" t="b">
        <v>0</v>
      </c>
    </row>
    <row r="347">
      <c r="A347" s="2" t="s">
        <v>449</v>
      </c>
      <c r="B347" s="2" t="s">
        <v>63</v>
      </c>
      <c r="C347" s="2" t="s">
        <v>28</v>
      </c>
      <c r="D347" s="2" t="s">
        <v>19</v>
      </c>
      <c r="E347" s="2">
        <v>47.0</v>
      </c>
      <c r="F347" s="3">
        <v>45751.0</v>
      </c>
      <c r="G347" s="2" t="s">
        <v>414</v>
      </c>
      <c r="H347" s="11">
        <v>4.1998968E7</v>
      </c>
      <c r="I347" s="2" t="s">
        <v>414</v>
      </c>
      <c r="J347" s="2" t="s">
        <v>34</v>
      </c>
      <c r="K347" s="2" t="s">
        <v>30</v>
      </c>
      <c r="L347" s="2">
        <v>113.0</v>
      </c>
      <c r="N347" s="11">
        <v>893595.0</v>
      </c>
      <c r="O347" s="4">
        <v>45748.0</v>
      </c>
      <c r="P347" s="2" t="b">
        <v>0</v>
      </c>
    </row>
    <row r="348">
      <c r="A348" s="2" t="s">
        <v>450</v>
      </c>
      <c r="B348" s="2" t="s">
        <v>17</v>
      </c>
      <c r="C348" s="2" t="s">
        <v>40</v>
      </c>
      <c r="D348" s="2" t="s">
        <v>67</v>
      </c>
      <c r="E348" s="2">
        <v>39.0</v>
      </c>
      <c r="F348" s="3">
        <v>45404.0</v>
      </c>
      <c r="G348" s="3">
        <v>45552.0</v>
      </c>
      <c r="H348" s="11">
        <v>8051618.0</v>
      </c>
      <c r="I348" s="2">
        <v>7919123.0</v>
      </c>
      <c r="J348" s="2" t="s">
        <v>20</v>
      </c>
      <c r="K348" s="2" t="s">
        <v>21</v>
      </c>
      <c r="L348" s="2">
        <v>6.0</v>
      </c>
      <c r="M348" s="2">
        <v>148.0</v>
      </c>
      <c r="N348" s="11">
        <v>206452.0</v>
      </c>
      <c r="O348" s="4">
        <v>45383.0</v>
      </c>
      <c r="P348" s="2" t="b">
        <v>1</v>
      </c>
    </row>
    <row r="349">
      <c r="A349" s="2" t="s">
        <v>451</v>
      </c>
      <c r="B349" s="2" t="s">
        <v>109</v>
      </c>
      <c r="C349" s="2" t="s">
        <v>64</v>
      </c>
      <c r="D349" s="2" t="s">
        <v>67</v>
      </c>
      <c r="E349" s="2">
        <v>42.0</v>
      </c>
      <c r="F349" s="3">
        <v>45216.0</v>
      </c>
      <c r="G349" s="3">
        <v>45258.0</v>
      </c>
      <c r="H349" s="11">
        <v>1.3794859E7</v>
      </c>
      <c r="I349" s="2">
        <v>1.3433507E7</v>
      </c>
      <c r="J349" s="2" t="s">
        <v>20</v>
      </c>
      <c r="K349" s="2" t="s">
        <v>30</v>
      </c>
      <c r="L349" s="2">
        <v>168.0</v>
      </c>
      <c r="M349" s="2">
        <v>42.0</v>
      </c>
      <c r="N349" s="11">
        <v>328449.0</v>
      </c>
      <c r="O349" s="6">
        <v>45200.0</v>
      </c>
      <c r="P349" s="2" t="b">
        <v>1</v>
      </c>
    </row>
    <row r="350">
      <c r="A350" s="2" t="s">
        <v>452</v>
      </c>
      <c r="B350" s="2" t="s">
        <v>17</v>
      </c>
      <c r="C350" s="2" t="s">
        <v>24</v>
      </c>
      <c r="D350" s="2" t="s">
        <v>37</v>
      </c>
      <c r="E350" s="2">
        <v>433.0</v>
      </c>
      <c r="F350" s="3">
        <v>45080.0</v>
      </c>
      <c r="G350" s="3">
        <v>45156.0</v>
      </c>
      <c r="H350" s="11">
        <v>7.49142388E8</v>
      </c>
      <c r="I350" s="2">
        <v>7.85752056E8</v>
      </c>
      <c r="J350" s="2" t="s">
        <v>20</v>
      </c>
      <c r="K350" s="2" t="s">
        <v>25</v>
      </c>
      <c r="L350" s="2">
        <v>108.0</v>
      </c>
      <c r="M350" s="2">
        <v>76.0</v>
      </c>
      <c r="N350" s="11">
        <v>1730121.0</v>
      </c>
      <c r="O350" s="4">
        <v>45078.0</v>
      </c>
      <c r="P350" s="2" t="b">
        <v>1</v>
      </c>
    </row>
    <row r="351">
      <c r="A351" s="2" t="s">
        <v>453</v>
      </c>
      <c r="B351" s="2" t="s">
        <v>95</v>
      </c>
      <c r="C351" s="2" t="s">
        <v>18</v>
      </c>
      <c r="D351" s="2" t="s">
        <v>102</v>
      </c>
      <c r="E351" s="2">
        <v>103.0</v>
      </c>
      <c r="F351" s="3">
        <v>45192.0</v>
      </c>
      <c r="G351" s="2" t="s">
        <v>414</v>
      </c>
      <c r="H351" s="11">
        <v>3.6241424E7</v>
      </c>
      <c r="I351" s="2" t="s">
        <v>414</v>
      </c>
      <c r="J351" s="2" t="s">
        <v>69</v>
      </c>
      <c r="K351" s="2" t="s">
        <v>21</v>
      </c>
      <c r="L351" s="2">
        <v>154.0</v>
      </c>
      <c r="N351" s="11">
        <v>351858.0</v>
      </c>
      <c r="O351" s="4">
        <v>45170.0</v>
      </c>
      <c r="P351" s="2" t="b">
        <v>0</v>
      </c>
    </row>
    <row r="352">
      <c r="A352" s="2" t="s">
        <v>454</v>
      </c>
      <c r="B352" s="2" t="s">
        <v>142</v>
      </c>
      <c r="C352" s="2" t="s">
        <v>18</v>
      </c>
      <c r="D352" s="2" t="s">
        <v>29</v>
      </c>
      <c r="E352" s="2">
        <v>1955.0</v>
      </c>
      <c r="F352" s="3">
        <v>45657.0</v>
      </c>
      <c r="G352" s="3">
        <v>45808.0</v>
      </c>
      <c r="H352" s="11">
        <v>2.72274814E8</v>
      </c>
      <c r="I352" s="2">
        <v>2.71217743E8</v>
      </c>
      <c r="J352" s="2" t="s">
        <v>20</v>
      </c>
      <c r="K352" s="2" t="s">
        <v>30</v>
      </c>
      <c r="L352" s="2">
        <v>134.0</v>
      </c>
      <c r="M352" s="2">
        <v>151.0</v>
      </c>
      <c r="N352" s="11">
        <v>139271.0</v>
      </c>
      <c r="O352" s="6">
        <v>45627.0</v>
      </c>
      <c r="P352" s="2" t="b">
        <v>1</v>
      </c>
    </row>
    <row r="353">
      <c r="A353" s="2" t="s">
        <v>455</v>
      </c>
      <c r="B353" s="2" t="s">
        <v>160</v>
      </c>
      <c r="C353" s="2" t="s">
        <v>24</v>
      </c>
      <c r="D353" s="2" t="s">
        <v>102</v>
      </c>
      <c r="E353" s="2">
        <v>171.0</v>
      </c>
      <c r="F353" s="3">
        <v>45026.0</v>
      </c>
      <c r="G353" s="3">
        <v>45230.0</v>
      </c>
      <c r="H353" s="11">
        <v>1.32471451E8</v>
      </c>
      <c r="I353" s="2">
        <v>1.39006932E8</v>
      </c>
      <c r="J353" s="2" t="s">
        <v>20</v>
      </c>
      <c r="K353" s="2" t="s">
        <v>42</v>
      </c>
      <c r="L353" s="2">
        <v>179.0</v>
      </c>
      <c r="M353" s="2">
        <v>204.0</v>
      </c>
      <c r="N353" s="11">
        <v>774687.0</v>
      </c>
      <c r="O353" s="4">
        <v>45017.0</v>
      </c>
      <c r="P353" s="2" t="b">
        <v>1</v>
      </c>
    </row>
    <row r="354">
      <c r="A354" s="2" t="s">
        <v>456</v>
      </c>
      <c r="B354" s="2" t="s">
        <v>88</v>
      </c>
      <c r="C354" s="2" t="s">
        <v>40</v>
      </c>
      <c r="D354" s="2" t="s">
        <v>33</v>
      </c>
      <c r="E354" s="2">
        <v>79.0</v>
      </c>
      <c r="F354" s="3">
        <v>45689.0</v>
      </c>
      <c r="G354" s="2" t="s">
        <v>414</v>
      </c>
      <c r="H354" s="11">
        <v>2.3013414E7</v>
      </c>
      <c r="I354" s="2" t="s">
        <v>414</v>
      </c>
      <c r="J354" s="2" t="s">
        <v>69</v>
      </c>
      <c r="K354" s="2" t="s">
        <v>30</v>
      </c>
      <c r="L354" s="2">
        <v>100.0</v>
      </c>
      <c r="N354" s="11">
        <v>291309.0</v>
      </c>
      <c r="O354" s="4">
        <v>45689.0</v>
      </c>
      <c r="P354" s="2" t="b">
        <v>0</v>
      </c>
    </row>
    <row r="355">
      <c r="A355" s="2" t="s">
        <v>457</v>
      </c>
      <c r="B355" s="2" t="s">
        <v>178</v>
      </c>
      <c r="C355" s="2" t="s">
        <v>24</v>
      </c>
      <c r="D355" s="2" t="s">
        <v>37</v>
      </c>
      <c r="E355" s="2">
        <v>537.0</v>
      </c>
      <c r="F355" s="3">
        <v>44981.0</v>
      </c>
      <c r="G355" s="2" t="s">
        <v>414</v>
      </c>
      <c r="H355" s="11">
        <v>8.30974795E8</v>
      </c>
      <c r="I355" s="2" t="s">
        <v>414</v>
      </c>
      <c r="J355" s="2" t="s">
        <v>34</v>
      </c>
      <c r="K355" s="2" t="s">
        <v>25</v>
      </c>
      <c r="L355" s="2">
        <v>23.0</v>
      </c>
      <c r="N355" s="11">
        <v>1547439.0</v>
      </c>
      <c r="O355" s="4">
        <v>44958.0</v>
      </c>
      <c r="P355" s="2" t="b">
        <v>0</v>
      </c>
    </row>
    <row r="356">
      <c r="A356" s="2" t="s">
        <v>458</v>
      </c>
      <c r="B356" s="2" t="s">
        <v>56</v>
      </c>
      <c r="C356" s="2" t="s">
        <v>64</v>
      </c>
      <c r="D356" s="2" t="s">
        <v>72</v>
      </c>
      <c r="E356" s="2">
        <v>308.0</v>
      </c>
      <c r="F356" s="3">
        <v>45317.0</v>
      </c>
      <c r="G356" s="3">
        <v>45437.0</v>
      </c>
      <c r="H356" s="11">
        <v>2.17452952E8</v>
      </c>
      <c r="I356" s="2">
        <v>2.29777829E8</v>
      </c>
      <c r="J356" s="2" t="s">
        <v>20</v>
      </c>
      <c r="K356" s="2" t="s">
        <v>42</v>
      </c>
      <c r="L356" s="2">
        <v>56.0</v>
      </c>
      <c r="M356" s="2">
        <v>120.0</v>
      </c>
      <c r="N356" s="11">
        <v>706016.0</v>
      </c>
      <c r="O356" s="4">
        <v>45292.0</v>
      </c>
      <c r="P356" s="2" t="b">
        <v>1</v>
      </c>
    </row>
    <row r="357">
      <c r="A357" s="2" t="s">
        <v>459</v>
      </c>
      <c r="B357" s="2" t="s">
        <v>160</v>
      </c>
      <c r="C357" s="2" t="s">
        <v>24</v>
      </c>
      <c r="D357" s="2" t="s">
        <v>29</v>
      </c>
      <c r="E357" s="2">
        <v>4148.0</v>
      </c>
      <c r="F357" s="3">
        <v>45810.0</v>
      </c>
      <c r="G357" s="2" t="s">
        <v>414</v>
      </c>
      <c r="H357" s="11">
        <v>1.267927285E9</v>
      </c>
      <c r="I357" s="2" t="s">
        <v>414</v>
      </c>
      <c r="J357" s="2" t="s">
        <v>41</v>
      </c>
      <c r="K357" s="2" t="s">
        <v>42</v>
      </c>
      <c r="L357" s="2">
        <v>85.0</v>
      </c>
      <c r="N357" s="11">
        <v>305672.0</v>
      </c>
      <c r="O357" s="4">
        <v>45809.0</v>
      </c>
      <c r="P357" s="2" t="b">
        <v>0</v>
      </c>
    </row>
    <row r="358">
      <c r="A358" s="2" t="s">
        <v>460</v>
      </c>
      <c r="B358" s="2" t="s">
        <v>17</v>
      </c>
      <c r="C358" s="2" t="s">
        <v>18</v>
      </c>
      <c r="D358" s="2" t="s">
        <v>19</v>
      </c>
      <c r="E358" s="2">
        <v>54.0</v>
      </c>
      <c r="F358" s="3">
        <v>45706.0</v>
      </c>
      <c r="G358" s="2" t="s">
        <v>414</v>
      </c>
      <c r="H358" s="11">
        <v>1.4854257E7</v>
      </c>
      <c r="I358" s="2" t="s">
        <v>414</v>
      </c>
      <c r="J358" s="2" t="s">
        <v>34</v>
      </c>
      <c r="K358" s="2" t="s">
        <v>73</v>
      </c>
      <c r="L358" s="2">
        <v>27.0</v>
      </c>
      <c r="N358" s="11">
        <v>275079.0</v>
      </c>
      <c r="O358" s="4">
        <v>45689.0</v>
      </c>
      <c r="P358" s="2" t="b">
        <v>0</v>
      </c>
    </row>
    <row r="359">
      <c r="A359" s="2" t="s">
        <v>461</v>
      </c>
      <c r="B359" s="2" t="s">
        <v>119</v>
      </c>
      <c r="C359" s="2" t="s">
        <v>28</v>
      </c>
      <c r="D359" s="2" t="s">
        <v>49</v>
      </c>
      <c r="E359" s="2">
        <v>212.0</v>
      </c>
      <c r="F359" s="3">
        <v>45366.0</v>
      </c>
      <c r="G359" s="2" t="s">
        <v>414</v>
      </c>
      <c r="H359" s="11">
        <v>2.14909172E8</v>
      </c>
      <c r="I359" s="2" t="s">
        <v>414</v>
      </c>
      <c r="J359" s="2" t="s">
        <v>69</v>
      </c>
      <c r="K359" s="2" t="s">
        <v>25</v>
      </c>
      <c r="L359" s="2">
        <v>56.0</v>
      </c>
      <c r="N359" s="11">
        <v>1013723.0</v>
      </c>
      <c r="O359" s="4">
        <v>45352.0</v>
      </c>
      <c r="P359" s="2" t="b">
        <v>0</v>
      </c>
    </row>
    <row r="360">
      <c r="A360" s="2" t="s">
        <v>462</v>
      </c>
      <c r="B360" s="2" t="s">
        <v>32</v>
      </c>
      <c r="C360" s="2" t="s">
        <v>57</v>
      </c>
      <c r="D360" s="2" t="s">
        <v>19</v>
      </c>
      <c r="E360" s="2">
        <v>68.0</v>
      </c>
      <c r="F360" s="3">
        <v>45122.0</v>
      </c>
      <c r="G360" s="3">
        <v>45138.0</v>
      </c>
      <c r="H360" s="11">
        <v>2.035808E7</v>
      </c>
      <c r="I360" s="2">
        <v>1.9539923E7</v>
      </c>
      <c r="J360" s="2" t="s">
        <v>20</v>
      </c>
      <c r="K360" s="2" t="s">
        <v>30</v>
      </c>
      <c r="L360" s="2">
        <v>84.0</v>
      </c>
      <c r="M360" s="2">
        <v>16.0</v>
      </c>
      <c r="N360" s="11">
        <v>299384.0</v>
      </c>
      <c r="O360" s="4">
        <v>45108.0</v>
      </c>
      <c r="P360" s="2" t="b">
        <v>1</v>
      </c>
    </row>
    <row r="361">
      <c r="A361" s="2" t="s">
        <v>463</v>
      </c>
      <c r="B361" s="2" t="s">
        <v>36</v>
      </c>
      <c r="C361" s="2" t="s">
        <v>28</v>
      </c>
      <c r="D361" s="2" t="s">
        <v>49</v>
      </c>
      <c r="E361" s="2">
        <v>178.0</v>
      </c>
      <c r="F361" s="3">
        <v>45098.0</v>
      </c>
      <c r="G361" s="3">
        <v>45124.0</v>
      </c>
      <c r="H361" s="11">
        <v>2.0531308E8</v>
      </c>
      <c r="I361" s="2">
        <v>1.98441753E8</v>
      </c>
      <c r="J361" s="2" t="s">
        <v>20</v>
      </c>
      <c r="K361" s="2" t="s">
        <v>25</v>
      </c>
      <c r="L361" s="2">
        <v>157.0</v>
      </c>
      <c r="M361" s="2">
        <v>26.0</v>
      </c>
      <c r="N361" s="11">
        <v>1153444.0</v>
      </c>
      <c r="O361" s="4">
        <v>45078.0</v>
      </c>
      <c r="P361" s="2" t="b">
        <v>1</v>
      </c>
    </row>
    <row r="362">
      <c r="A362" s="2" t="s">
        <v>464</v>
      </c>
      <c r="B362" s="2" t="s">
        <v>160</v>
      </c>
      <c r="C362" s="2" t="s">
        <v>64</v>
      </c>
      <c r="D362" s="2" t="s">
        <v>49</v>
      </c>
      <c r="E362" s="2">
        <v>277.0</v>
      </c>
      <c r="F362" s="3">
        <v>45850.0</v>
      </c>
      <c r="G362" s="2" t="s">
        <v>414</v>
      </c>
      <c r="H362" s="11">
        <v>1.6148639E8</v>
      </c>
      <c r="I362" s="2">
        <v>1.73063913E8</v>
      </c>
      <c r="J362" s="2" t="s">
        <v>20</v>
      </c>
      <c r="K362" s="2" t="s">
        <v>73</v>
      </c>
      <c r="L362" s="2">
        <v>9.0</v>
      </c>
      <c r="M362" s="2">
        <v>207.0</v>
      </c>
      <c r="N362" s="11">
        <v>582983.0</v>
      </c>
      <c r="O362" s="4">
        <v>45839.0</v>
      </c>
      <c r="P362" s="2" t="b">
        <v>1</v>
      </c>
    </row>
    <row r="363">
      <c r="A363" s="2" t="s">
        <v>465</v>
      </c>
      <c r="B363" s="2" t="s">
        <v>121</v>
      </c>
      <c r="C363" s="2" t="s">
        <v>28</v>
      </c>
      <c r="D363" s="2" t="s">
        <v>102</v>
      </c>
      <c r="E363" s="2">
        <v>127.0</v>
      </c>
      <c r="F363" s="3">
        <v>45443.0</v>
      </c>
      <c r="G363" s="3">
        <v>45551.0</v>
      </c>
      <c r="H363" s="11">
        <v>1.53079042E8</v>
      </c>
      <c r="I363" s="2">
        <v>1.60234009E8</v>
      </c>
      <c r="J363" s="2" t="s">
        <v>20</v>
      </c>
      <c r="K363" s="2" t="s">
        <v>73</v>
      </c>
      <c r="L363" s="2">
        <v>168.0</v>
      </c>
      <c r="M363" s="2">
        <v>108.0</v>
      </c>
      <c r="N363" s="11">
        <v>1205347.0</v>
      </c>
      <c r="O363" s="4">
        <v>45413.0</v>
      </c>
      <c r="P363" s="2" t="b">
        <v>1</v>
      </c>
    </row>
    <row r="364">
      <c r="A364" s="2" t="s">
        <v>466</v>
      </c>
      <c r="B364" s="2" t="s">
        <v>121</v>
      </c>
      <c r="C364" s="2" t="s">
        <v>24</v>
      </c>
      <c r="D364" s="2" t="s">
        <v>58</v>
      </c>
      <c r="E364" s="2">
        <v>209.0</v>
      </c>
      <c r="F364" s="3">
        <v>44976.0</v>
      </c>
      <c r="G364" s="3">
        <v>45158.0</v>
      </c>
      <c r="H364" s="11">
        <v>1.76997987E8</v>
      </c>
      <c r="I364" s="2">
        <v>1.64204149E8</v>
      </c>
      <c r="J364" s="2" t="s">
        <v>20</v>
      </c>
      <c r="K364" s="2" t="s">
        <v>21</v>
      </c>
      <c r="L364" s="2">
        <v>111.0</v>
      </c>
      <c r="M364" s="2">
        <v>182.0</v>
      </c>
      <c r="N364" s="11">
        <v>846880.0</v>
      </c>
      <c r="O364" s="4">
        <v>44958.0</v>
      </c>
      <c r="P364" s="2" t="b">
        <v>1</v>
      </c>
    </row>
    <row r="365">
      <c r="A365" s="2" t="s">
        <v>467</v>
      </c>
      <c r="B365" s="2" t="s">
        <v>39</v>
      </c>
      <c r="C365" s="2" t="s">
        <v>24</v>
      </c>
      <c r="D365" s="2" t="s">
        <v>33</v>
      </c>
      <c r="E365" s="2">
        <v>100.0</v>
      </c>
      <c r="F365" s="3">
        <v>45645.0</v>
      </c>
      <c r="G365" s="3">
        <v>45837.0</v>
      </c>
      <c r="H365" s="11">
        <v>7.307924E7</v>
      </c>
      <c r="I365" s="2">
        <v>6.7341695E7</v>
      </c>
      <c r="J365" s="2" t="s">
        <v>20</v>
      </c>
      <c r="K365" s="2" t="s">
        <v>73</v>
      </c>
      <c r="L365" s="2">
        <v>174.0</v>
      </c>
      <c r="M365" s="2">
        <v>192.0</v>
      </c>
      <c r="N365" s="11">
        <v>730792.0</v>
      </c>
      <c r="O365" s="6">
        <v>45627.0</v>
      </c>
      <c r="P365" s="2" t="b">
        <v>1</v>
      </c>
    </row>
    <row r="366">
      <c r="A366" s="2" t="s">
        <v>468</v>
      </c>
      <c r="B366" s="2" t="s">
        <v>109</v>
      </c>
      <c r="C366" s="2" t="s">
        <v>28</v>
      </c>
      <c r="D366" s="2" t="s">
        <v>58</v>
      </c>
      <c r="E366" s="2">
        <v>119.0</v>
      </c>
      <c r="F366" s="3">
        <v>45644.0</v>
      </c>
      <c r="G366" s="3">
        <v>45685.0</v>
      </c>
      <c r="H366" s="11">
        <v>1.17343842E8</v>
      </c>
      <c r="I366" s="2">
        <v>1.19553622E8</v>
      </c>
      <c r="J366" s="2" t="s">
        <v>20</v>
      </c>
      <c r="K366" s="2" t="s">
        <v>30</v>
      </c>
      <c r="L366" s="2">
        <v>34.0</v>
      </c>
      <c r="M366" s="2">
        <v>41.0</v>
      </c>
      <c r="N366" s="11">
        <v>986083.0</v>
      </c>
      <c r="O366" s="6">
        <v>45627.0</v>
      </c>
      <c r="P366" s="2" t="b">
        <v>1</v>
      </c>
    </row>
    <row r="367">
      <c r="A367" s="2" t="s">
        <v>469</v>
      </c>
      <c r="B367" s="2" t="s">
        <v>135</v>
      </c>
      <c r="C367" s="2" t="s">
        <v>57</v>
      </c>
      <c r="D367" s="2" t="s">
        <v>81</v>
      </c>
      <c r="E367" s="2">
        <v>2027.0</v>
      </c>
      <c r="F367" s="3">
        <v>45723.0</v>
      </c>
      <c r="G367" s="3">
        <v>45871.0</v>
      </c>
      <c r="H367" s="11">
        <v>4.8229545E8</v>
      </c>
      <c r="I367" s="2">
        <v>4.71331665E8</v>
      </c>
      <c r="J367" s="2" t="s">
        <v>20</v>
      </c>
      <c r="K367" s="2" t="s">
        <v>73</v>
      </c>
      <c r="L367" s="2">
        <v>80.0</v>
      </c>
      <c r="M367" s="2">
        <v>148.0</v>
      </c>
      <c r="N367" s="11">
        <v>237936.0</v>
      </c>
      <c r="O367" s="4">
        <v>45717.0</v>
      </c>
      <c r="P367" s="2" t="b">
        <v>1</v>
      </c>
    </row>
    <row r="368">
      <c r="A368" s="2" t="s">
        <v>470</v>
      </c>
      <c r="B368" s="2" t="s">
        <v>163</v>
      </c>
      <c r="C368" s="2" t="s">
        <v>28</v>
      </c>
      <c r="D368" s="2" t="s">
        <v>58</v>
      </c>
      <c r="E368" s="2">
        <v>177.0</v>
      </c>
      <c r="F368" s="3">
        <v>45882.0</v>
      </c>
      <c r="G368" s="3">
        <v>45957.0</v>
      </c>
      <c r="H368" s="11">
        <v>1.40852E8</v>
      </c>
      <c r="I368" s="2">
        <v>1.44719979E8</v>
      </c>
      <c r="J368" s="2" t="s">
        <v>20</v>
      </c>
      <c r="K368" s="2" t="s">
        <v>21</v>
      </c>
      <c r="L368" s="2">
        <v>151.0</v>
      </c>
      <c r="M368" s="2">
        <v>75.0</v>
      </c>
      <c r="N368" s="11">
        <v>795774.0</v>
      </c>
      <c r="O368" s="4">
        <v>45870.0</v>
      </c>
      <c r="P368" s="2" t="b">
        <v>1</v>
      </c>
    </row>
    <row r="369">
      <c r="A369" s="2" t="s">
        <v>471</v>
      </c>
      <c r="B369" s="2" t="s">
        <v>60</v>
      </c>
      <c r="C369" s="2" t="s">
        <v>18</v>
      </c>
      <c r="D369" s="2" t="s">
        <v>102</v>
      </c>
      <c r="E369" s="2">
        <v>111.0</v>
      </c>
      <c r="F369" s="3">
        <v>45667.0</v>
      </c>
      <c r="G369" s="2" t="s">
        <v>414</v>
      </c>
      <c r="H369" s="11">
        <v>4.3035493E7</v>
      </c>
      <c r="I369" s="2" t="s">
        <v>414</v>
      </c>
      <c r="J369" s="2" t="s">
        <v>69</v>
      </c>
      <c r="K369" s="2" t="s">
        <v>73</v>
      </c>
      <c r="L369" s="2">
        <v>80.0</v>
      </c>
      <c r="N369" s="11">
        <v>387707.0</v>
      </c>
      <c r="O369" s="4">
        <v>45658.0</v>
      </c>
      <c r="P369" s="2" t="b">
        <v>0</v>
      </c>
    </row>
    <row r="370">
      <c r="A370" s="2" t="s">
        <v>472</v>
      </c>
      <c r="B370" s="2" t="s">
        <v>173</v>
      </c>
      <c r="C370" s="2" t="s">
        <v>24</v>
      </c>
      <c r="D370" s="2" t="s">
        <v>19</v>
      </c>
      <c r="E370" s="2">
        <v>43.0</v>
      </c>
      <c r="F370" s="3">
        <v>45799.0</v>
      </c>
      <c r="G370" s="3">
        <v>45987.0</v>
      </c>
      <c r="H370" s="11">
        <v>2.316553E7</v>
      </c>
      <c r="I370" s="2">
        <v>2.4049675E7</v>
      </c>
      <c r="J370" s="2" t="s">
        <v>20</v>
      </c>
      <c r="K370" s="2" t="s">
        <v>21</v>
      </c>
      <c r="L370" s="2">
        <v>16.0</v>
      </c>
      <c r="M370" s="2">
        <v>188.0</v>
      </c>
      <c r="N370" s="11">
        <v>538733.0</v>
      </c>
      <c r="O370" s="4">
        <v>45778.0</v>
      </c>
      <c r="P370" s="2" t="b">
        <v>1</v>
      </c>
    </row>
    <row r="371">
      <c r="A371" s="2" t="s">
        <v>473</v>
      </c>
      <c r="B371" s="2" t="s">
        <v>106</v>
      </c>
      <c r="C371" s="2" t="s">
        <v>28</v>
      </c>
      <c r="D371" s="2" t="s">
        <v>102</v>
      </c>
      <c r="E371" s="2">
        <v>121.0</v>
      </c>
      <c r="F371" s="3">
        <v>45842.0</v>
      </c>
      <c r="G371" s="2" t="s">
        <v>414</v>
      </c>
      <c r="H371" s="11">
        <v>1.23075935E8</v>
      </c>
      <c r="I371" s="2">
        <v>1.27665543E8</v>
      </c>
      <c r="J371" s="2" t="s">
        <v>20</v>
      </c>
      <c r="K371" s="2" t="s">
        <v>30</v>
      </c>
      <c r="L371" s="2">
        <v>92.0</v>
      </c>
      <c r="M371" s="2">
        <v>174.0</v>
      </c>
      <c r="N371" s="11">
        <v>1017156.0</v>
      </c>
      <c r="O371" s="4">
        <v>45839.0</v>
      </c>
      <c r="P371" s="2" t="b">
        <v>1</v>
      </c>
    </row>
    <row r="372">
      <c r="A372" s="2" t="s">
        <v>474</v>
      </c>
      <c r="B372" s="2" t="s">
        <v>95</v>
      </c>
      <c r="C372" s="2" t="s">
        <v>28</v>
      </c>
      <c r="D372" s="2" t="s">
        <v>49</v>
      </c>
      <c r="E372" s="2">
        <v>152.0</v>
      </c>
      <c r="F372" s="3">
        <v>45782.0</v>
      </c>
      <c r="G372" s="3">
        <v>45919.0</v>
      </c>
      <c r="H372" s="11">
        <v>2.11622299E8</v>
      </c>
      <c r="I372" s="2">
        <v>2.16662176E8</v>
      </c>
      <c r="J372" s="2" t="s">
        <v>20</v>
      </c>
      <c r="K372" s="2" t="s">
        <v>42</v>
      </c>
      <c r="L372" s="2">
        <v>33.0</v>
      </c>
      <c r="M372" s="2">
        <v>137.0</v>
      </c>
      <c r="N372" s="11">
        <v>1392252.0</v>
      </c>
      <c r="O372" s="4">
        <v>45778.0</v>
      </c>
      <c r="P372" s="2" t="b">
        <v>1</v>
      </c>
    </row>
    <row r="373">
      <c r="A373" s="2" t="s">
        <v>475</v>
      </c>
      <c r="B373" s="2" t="s">
        <v>173</v>
      </c>
      <c r="C373" s="2" t="s">
        <v>28</v>
      </c>
      <c r="D373" s="2" t="s">
        <v>19</v>
      </c>
      <c r="E373" s="2">
        <v>70.0</v>
      </c>
      <c r="F373" s="3">
        <v>45353.0</v>
      </c>
      <c r="G373" s="2" t="s">
        <v>414</v>
      </c>
      <c r="H373" s="11">
        <v>5.9218566E7</v>
      </c>
      <c r="I373" s="2" t="s">
        <v>414</v>
      </c>
      <c r="J373" s="2" t="s">
        <v>69</v>
      </c>
      <c r="K373" s="2" t="s">
        <v>73</v>
      </c>
      <c r="L373" s="2">
        <v>51.0</v>
      </c>
      <c r="N373" s="11">
        <v>845980.0</v>
      </c>
      <c r="O373" s="4">
        <v>45352.0</v>
      </c>
      <c r="P373" s="2" t="b">
        <v>0</v>
      </c>
    </row>
    <row r="374">
      <c r="A374" s="2" t="s">
        <v>476</v>
      </c>
      <c r="B374" s="2" t="s">
        <v>78</v>
      </c>
      <c r="C374" s="2" t="s">
        <v>64</v>
      </c>
      <c r="D374" s="2" t="s">
        <v>67</v>
      </c>
      <c r="E374" s="2">
        <v>44.0</v>
      </c>
      <c r="F374" s="3">
        <v>45828.0</v>
      </c>
      <c r="G374" s="2" t="s">
        <v>414</v>
      </c>
      <c r="H374" s="11">
        <v>1.4459193E7</v>
      </c>
      <c r="I374" s="2" t="s">
        <v>414</v>
      </c>
      <c r="J374" s="2" t="s">
        <v>41</v>
      </c>
      <c r="K374" s="2" t="s">
        <v>73</v>
      </c>
      <c r="L374" s="2">
        <v>33.0</v>
      </c>
      <c r="N374" s="11">
        <v>328618.0</v>
      </c>
      <c r="O374" s="4">
        <v>45809.0</v>
      </c>
      <c r="P374" s="2" t="b">
        <v>0</v>
      </c>
    </row>
    <row r="375">
      <c r="A375" s="2" t="s">
        <v>477</v>
      </c>
      <c r="B375" s="2" t="s">
        <v>99</v>
      </c>
      <c r="C375" s="2" t="s">
        <v>40</v>
      </c>
      <c r="D375" s="2" t="s">
        <v>81</v>
      </c>
      <c r="E375" s="2">
        <v>776.0</v>
      </c>
      <c r="F375" s="3">
        <v>45597.0</v>
      </c>
      <c r="G375" s="3">
        <v>45792.0</v>
      </c>
      <c r="H375" s="11">
        <v>1.3936955E8</v>
      </c>
      <c r="I375" s="2">
        <v>1.39922967E8</v>
      </c>
      <c r="J375" s="2" t="s">
        <v>20</v>
      </c>
      <c r="K375" s="2" t="s">
        <v>25</v>
      </c>
      <c r="L375" s="2">
        <v>149.0</v>
      </c>
      <c r="M375" s="2">
        <v>195.0</v>
      </c>
      <c r="N375" s="11">
        <v>179600.0</v>
      </c>
      <c r="O375" s="6">
        <v>45597.0</v>
      </c>
      <c r="P375" s="2" t="b">
        <v>1</v>
      </c>
    </row>
    <row r="376">
      <c r="A376" s="2" t="s">
        <v>478</v>
      </c>
      <c r="B376" s="2" t="s">
        <v>165</v>
      </c>
      <c r="C376" s="2" t="s">
        <v>28</v>
      </c>
      <c r="D376" s="2" t="s">
        <v>67</v>
      </c>
      <c r="E376" s="2">
        <v>41.0</v>
      </c>
      <c r="F376" s="3">
        <v>45644.0</v>
      </c>
      <c r="G376" s="3">
        <v>45769.0</v>
      </c>
      <c r="H376" s="11">
        <v>2.7192748E7</v>
      </c>
      <c r="I376" s="2">
        <v>2.6098846E7</v>
      </c>
      <c r="J376" s="2" t="s">
        <v>20</v>
      </c>
      <c r="K376" s="2" t="s">
        <v>30</v>
      </c>
      <c r="L376" s="2">
        <v>174.0</v>
      </c>
      <c r="M376" s="2">
        <v>125.0</v>
      </c>
      <c r="N376" s="11">
        <v>663238.0</v>
      </c>
      <c r="O376" s="6">
        <v>45627.0</v>
      </c>
      <c r="P376" s="2" t="b">
        <v>1</v>
      </c>
    </row>
    <row r="377">
      <c r="A377" s="2" t="s">
        <v>479</v>
      </c>
      <c r="B377" s="2" t="s">
        <v>275</v>
      </c>
      <c r="C377" s="2" t="s">
        <v>18</v>
      </c>
      <c r="D377" s="2" t="s">
        <v>49</v>
      </c>
      <c r="E377" s="2">
        <v>88.0</v>
      </c>
      <c r="F377" s="3">
        <v>44982.0</v>
      </c>
      <c r="G377" s="3">
        <v>45037.0</v>
      </c>
      <c r="H377" s="11">
        <v>3.6297623E7</v>
      </c>
      <c r="I377" s="2">
        <v>3.6119264E7</v>
      </c>
      <c r="J377" s="2" t="s">
        <v>20</v>
      </c>
      <c r="K377" s="2" t="s">
        <v>73</v>
      </c>
      <c r="L377" s="2">
        <v>47.0</v>
      </c>
      <c r="M377" s="2">
        <v>55.0</v>
      </c>
      <c r="N377" s="11">
        <v>412473.0</v>
      </c>
      <c r="O377" s="4">
        <v>44958.0</v>
      </c>
      <c r="P377" s="2" t="b">
        <v>1</v>
      </c>
    </row>
    <row r="378">
      <c r="A378" s="2" t="s">
        <v>480</v>
      </c>
      <c r="B378" s="2" t="s">
        <v>111</v>
      </c>
      <c r="C378" s="2" t="s">
        <v>28</v>
      </c>
      <c r="D378" s="2" t="s">
        <v>81</v>
      </c>
      <c r="E378" s="2">
        <v>3026.0</v>
      </c>
      <c r="F378" s="3">
        <v>45920.0</v>
      </c>
      <c r="G378" s="2" t="s">
        <v>414</v>
      </c>
      <c r="H378" s="11">
        <v>1.449248627E9</v>
      </c>
      <c r="I378" s="2">
        <v>1.482481014E9</v>
      </c>
      <c r="J378" s="2" t="s">
        <v>20</v>
      </c>
      <c r="K378" s="2" t="s">
        <v>73</v>
      </c>
      <c r="L378" s="2">
        <v>65.0</v>
      </c>
      <c r="M378" s="2">
        <v>144.0</v>
      </c>
      <c r="N378" s="11">
        <v>478932.0</v>
      </c>
      <c r="O378" s="4">
        <v>45901.0</v>
      </c>
      <c r="P378" s="2" t="b">
        <v>1</v>
      </c>
    </row>
    <row r="379">
      <c r="A379" s="2" t="s">
        <v>481</v>
      </c>
      <c r="B379" s="2" t="s">
        <v>178</v>
      </c>
      <c r="C379" s="2" t="s">
        <v>28</v>
      </c>
      <c r="D379" s="2" t="s">
        <v>81</v>
      </c>
      <c r="E379" s="2">
        <v>4070.0</v>
      </c>
      <c r="F379" s="3">
        <v>45384.0</v>
      </c>
      <c r="G379" s="3">
        <v>45526.0</v>
      </c>
      <c r="H379" s="11">
        <v>2.383102007E9</v>
      </c>
      <c r="I379" s="2">
        <v>2.199229149E9</v>
      </c>
      <c r="J379" s="2" t="s">
        <v>20</v>
      </c>
      <c r="K379" s="2" t="s">
        <v>73</v>
      </c>
      <c r="L379" s="2">
        <v>110.0</v>
      </c>
      <c r="M379" s="2">
        <v>142.0</v>
      </c>
      <c r="N379" s="11">
        <v>585529.0</v>
      </c>
      <c r="O379" s="4">
        <v>45383.0</v>
      </c>
      <c r="P379" s="2" t="b">
        <v>1</v>
      </c>
    </row>
    <row r="380">
      <c r="A380" s="2" t="s">
        <v>482</v>
      </c>
      <c r="B380" s="2" t="s">
        <v>86</v>
      </c>
      <c r="C380" s="2" t="s">
        <v>28</v>
      </c>
      <c r="D380" s="2" t="s">
        <v>58</v>
      </c>
      <c r="E380" s="2">
        <v>50.0</v>
      </c>
      <c r="F380" s="3">
        <v>45913.0</v>
      </c>
      <c r="G380" s="2" t="s">
        <v>414</v>
      </c>
      <c r="H380" s="11">
        <v>5.6382573E7</v>
      </c>
      <c r="I380" s="2">
        <v>5.6944888E7</v>
      </c>
      <c r="J380" s="2" t="s">
        <v>20</v>
      </c>
      <c r="K380" s="2" t="s">
        <v>73</v>
      </c>
      <c r="L380" s="2">
        <v>92.0</v>
      </c>
      <c r="M380" s="2">
        <v>92.0</v>
      </c>
      <c r="N380" s="11">
        <v>1127651.0</v>
      </c>
      <c r="O380" s="4">
        <v>45901.0</v>
      </c>
      <c r="P380" s="2" t="b">
        <v>1</v>
      </c>
    </row>
    <row r="381">
      <c r="A381" s="2" t="s">
        <v>483</v>
      </c>
      <c r="B381" s="2" t="s">
        <v>132</v>
      </c>
      <c r="C381" s="2" t="s">
        <v>24</v>
      </c>
      <c r="D381" s="2" t="s">
        <v>19</v>
      </c>
      <c r="E381" s="2">
        <v>66.0</v>
      </c>
      <c r="F381" s="3">
        <v>45266.0</v>
      </c>
      <c r="G381" s="3">
        <v>45439.0</v>
      </c>
      <c r="H381" s="11">
        <v>3.9746137E7</v>
      </c>
      <c r="I381" s="2">
        <v>4.1123948E7</v>
      </c>
      <c r="J381" s="2" t="s">
        <v>20</v>
      </c>
      <c r="K381" s="2" t="s">
        <v>30</v>
      </c>
      <c r="L381" s="2">
        <v>120.0</v>
      </c>
      <c r="M381" s="2">
        <v>173.0</v>
      </c>
      <c r="N381" s="11">
        <v>602214.0</v>
      </c>
      <c r="O381" s="6">
        <v>45261.0</v>
      </c>
      <c r="P381" s="2" t="b">
        <v>1</v>
      </c>
    </row>
    <row r="382">
      <c r="A382" s="2" t="s">
        <v>484</v>
      </c>
      <c r="B382" s="2" t="s">
        <v>106</v>
      </c>
      <c r="C382" s="2" t="s">
        <v>28</v>
      </c>
      <c r="D382" s="2" t="s">
        <v>72</v>
      </c>
      <c r="E382" s="2">
        <v>180.0</v>
      </c>
      <c r="F382" s="3">
        <v>45776.0</v>
      </c>
      <c r="G382" s="3">
        <v>45865.0</v>
      </c>
      <c r="H382" s="11">
        <v>2.94423594E8</v>
      </c>
      <c r="I382" s="2">
        <v>2.88482849E8</v>
      </c>
      <c r="J382" s="2" t="s">
        <v>20</v>
      </c>
      <c r="K382" s="2" t="s">
        <v>21</v>
      </c>
      <c r="L382" s="2">
        <v>16.0</v>
      </c>
      <c r="M382" s="2">
        <v>89.0</v>
      </c>
      <c r="N382" s="11">
        <v>1635687.0</v>
      </c>
      <c r="O382" s="4">
        <v>45748.0</v>
      </c>
      <c r="P382" s="2" t="b">
        <v>1</v>
      </c>
    </row>
    <row r="383">
      <c r="A383" s="2" t="s">
        <v>485</v>
      </c>
      <c r="B383" s="2" t="s">
        <v>80</v>
      </c>
      <c r="C383" s="2" t="s">
        <v>40</v>
      </c>
      <c r="D383" s="2" t="s">
        <v>81</v>
      </c>
      <c r="E383" s="2">
        <v>1550.0</v>
      </c>
      <c r="F383" s="3">
        <v>45187.0</v>
      </c>
      <c r="G383" s="3">
        <v>45250.0</v>
      </c>
      <c r="H383" s="11">
        <v>2.0885436E8</v>
      </c>
      <c r="I383" s="2">
        <v>2.20623532E8</v>
      </c>
      <c r="J383" s="2" t="s">
        <v>20</v>
      </c>
      <c r="K383" s="2" t="s">
        <v>42</v>
      </c>
      <c r="L383" s="2">
        <v>122.0</v>
      </c>
      <c r="M383" s="2">
        <v>63.0</v>
      </c>
      <c r="N383" s="11">
        <v>134745.0</v>
      </c>
      <c r="O383" s="4">
        <v>45170.0</v>
      </c>
      <c r="P383" s="2" t="b">
        <v>1</v>
      </c>
    </row>
    <row r="384">
      <c r="A384" s="2" t="s">
        <v>486</v>
      </c>
      <c r="B384" s="2" t="s">
        <v>178</v>
      </c>
      <c r="C384" s="2" t="s">
        <v>57</v>
      </c>
      <c r="D384" s="2" t="s">
        <v>72</v>
      </c>
      <c r="E384" s="2">
        <v>266.0</v>
      </c>
      <c r="F384" s="3">
        <v>44974.0</v>
      </c>
      <c r="G384" s="2" t="s">
        <v>414</v>
      </c>
      <c r="H384" s="11">
        <v>1.66319713E8</v>
      </c>
      <c r="I384" s="2" t="s">
        <v>414</v>
      </c>
      <c r="J384" s="2" t="s">
        <v>34</v>
      </c>
      <c r="K384" s="2" t="s">
        <v>73</v>
      </c>
      <c r="L384" s="2">
        <v>122.0</v>
      </c>
      <c r="N384" s="11">
        <v>625262.0</v>
      </c>
      <c r="O384" s="4">
        <v>44958.0</v>
      </c>
      <c r="P384" s="2" t="b">
        <v>0</v>
      </c>
    </row>
    <row r="385">
      <c r="A385" s="2" t="s">
        <v>487</v>
      </c>
      <c r="B385" s="2" t="s">
        <v>129</v>
      </c>
      <c r="C385" s="2" t="s">
        <v>18</v>
      </c>
      <c r="D385" s="2" t="s">
        <v>58</v>
      </c>
      <c r="E385" s="2">
        <v>84.0</v>
      </c>
      <c r="F385" s="3">
        <v>45470.0</v>
      </c>
      <c r="G385" s="2" t="s">
        <v>414</v>
      </c>
      <c r="H385" s="11">
        <v>3.1670518E7</v>
      </c>
      <c r="I385" s="2" t="s">
        <v>414</v>
      </c>
      <c r="J385" s="2" t="s">
        <v>34</v>
      </c>
      <c r="K385" s="2" t="s">
        <v>25</v>
      </c>
      <c r="L385" s="2">
        <v>128.0</v>
      </c>
      <c r="N385" s="11">
        <v>377030.0</v>
      </c>
      <c r="O385" s="4">
        <v>45444.0</v>
      </c>
      <c r="P385" s="2" t="b">
        <v>0</v>
      </c>
    </row>
    <row r="386">
      <c r="A386" s="2" t="s">
        <v>488</v>
      </c>
      <c r="B386" s="2" t="s">
        <v>71</v>
      </c>
      <c r="C386" s="2" t="s">
        <v>93</v>
      </c>
      <c r="D386" s="2" t="s">
        <v>102</v>
      </c>
      <c r="E386" s="2">
        <v>174.0</v>
      </c>
      <c r="F386" s="3">
        <v>45761.0</v>
      </c>
      <c r="G386" s="3">
        <v>45875.0</v>
      </c>
      <c r="H386" s="11">
        <v>7.2623819E7</v>
      </c>
      <c r="I386" s="2">
        <v>7.3857387E7</v>
      </c>
      <c r="J386" s="2" t="s">
        <v>20</v>
      </c>
      <c r="K386" s="2" t="s">
        <v>30</v>
      </c>
      <c r="L386" s="2">
        <v>134.0</v>
      </c>
      <c r="M386" s="2">
        <v>114.0</v>
      </c>
      <c r="N386" s="11">
        <v>417378.0</v>
      </c>
      <c r="O386" s="4">
        <v>45748.0</v>
      </c>
      <c r="P386" s="2" t="b">
        <v>1</v>
      </c>
    </row>
    <row r="387">
      <c r="A387" s="2" t="s">
        <v>489</v>
      </c>
      <c r="B387" s="2" t="s">
        <v>137</v>
      </c>
      <c r="C387" s="2" t="s">
        <v>40</v>
      </c>
      <c r="D387" s="2" t="s">
        <v>49</v>
      </c>
      <c r="E387" s="2">
        <v>300.0</v>
      </c>
      <c r="F387" s="3">
        <v>45707.0</v>
      </c>
      <c r="G387" s="3">
        <v>45823.0</v>
      </c>
      <c r="H387" s="11">
        <v>1.29720928E8</v>
      </c>
      <c r="I387" s="2">
        <v>1.39486146E8</v>
      </c>
      <c r="J387" s="2" t="s">
        <v>20</v>
      </c>
      <c r="K387" s="2" t="s">
        <v>73</v>
      </c>
      <c r="L387" s="2">
        <v>39.0</v>
      </c>
      <c r="M387" s="2">
        <v>116.0</v>
      </c>
      <c r="N387" s="11">
        <v>432403.0</v>
      </c>
      <c r="O387" s="4">
        <v>45689.0</v>
      </c>
      <c r="P387" s="2" t="b">
        <v>1</v>
      </c>
    </row>
    <row r="388">
      <c r="A388" s="2" t="s">
        <v>490</v>
      </c>
      <c r="B388" s="2" t="s">
        <v>220</v>
      </c>
      <c r="C388" s="2" t="s">
        <v>28</v>
      </c>
      <c r="D388" s="2" t="s">
        <v>29</v>
      </c>
      <c r="E388" s="2">
        <v>4596.0</v>
      </c>
      <c r="F388" s="3">
        <v>45487.0</v>
      </c>
      <c r="G388" s="2" t="s">
        <v>414</v>
      </c>
      <c r="H388" s="11">
        <v>2.012396531E9</v>
      </c>
      <c r="I388" s="2" t="s">
        <v>414</v>
      </c>
      <c r="J388" s="2" t="s">
        <v>34</v>
      </c>
      <c r="K388" s="2" t="s">
        <v>25</v>
      </c>
      <c r="L388" s="2">
        <v>166.0</v>
      </c>
      <c r="N388" s="11">
        <v>437858.0</v>
      </c>
      <c r="O388" s="4">
        <v>45474.0</v>
      </c>
      <c r="P388" s="2" t="b">
        <v>0</v>
      </c>
    </row>
    <row r="389">
      <c r="A389" s="2" t="s">
        <v>491</v>
      </c>
      <c r="B389" s="2" t="s">
        <v>220</v>
      </c>
      <c r="C389" s="2" t="s">
        <v>28</v>
      </c>
      <c r="D389" s="2" t="s">
        <v>72</v>
      </c>
      <c r="E389" s="2">
        <v>339.0</v>
      </c>
      <c r="F389" s="3">
        <v>45280.0</v>
      </c>
      <c r="G389" s="2" t="s">
        <v>414</v>
      </c>
      <c r="H389" s="11">
        <v>6.44465212E8</v>
      </c>
      <c r="I389" s="2" t="s">
        <v>414</v>
      </c>
      <c r="J389" s="2" t="s">
        <v>41</v>
      </c>
      <c r="K389" s="2" t="s">
        <v>42</v>
      </c>
      <c r="L389" s="2">
        <v>133.0</v>
      </c>
      <c r="N389" s="11">
        <v>1901077.0</v>
      </c>
      <c r="O389" s="6">
        <v>45261.0</v>
      </c>
      <c r="P389" s="2" t="b">
        <v>0</v>
      </c>
    </row>
    <row r="390">
      <c r="A390" s="2" t="s">
        <v>492</v>
      </c>
      <c r="B390" s="2" t="s">
        <v>32</v>
      </c>
      <c r="C390" s="2" t="s">
        <v>64</v>
      </c>
      <c r="D390" s="2" t="s">
        <v>67</v>
      </c>
      <c r="E390" s="2">
        <v>28.0</v>
      </c>
      <c r="F390" s="3">
        <v>45418.0</v>
      </c>
      <c r="G390" s="3">
        <v>45603.0</v>
      </c>
      <c r="H390" s="11">
        <v>1.0002316E7</v>
      </c>
      <c r="I390" s="2">
        <v>1.028117E7</v>
      </c>
      <c r="J390" s="2" t="s">
        <v>20</v>
      </c>
      <c r="K390" s="2" t="s">
        <v>25</v>
      </c>
      <c r="L390" s="2">
        <v>78.0</v>
      </c>
      <c r="M390" s="2">
        <v>185.0</v>
      </c>
      <c r="N390" s="11">
        <v>357226.0</v>
      </c>
      <c r="O390" s="4">
        <v>45413.0</v>
      </c>
      <c r="P390" s="2" t="b">
        <v>1</v>
      </c>
    </row>
    <row r="391">
      <c r="A391" s="2" t="s">
        <v>493</v>
      </c>
      <c r="B391" s="2" t="s">
        <v>121</v>
      </c>
      <c r="C391" s="2" t="s">
        <v>40</v>
      </c>
      <c r="D391" s="2" t="s">
        <v>49</v>
      </c>
      <c r="E391" s="2">
        <v>256.0</v>
      </c>
      <c r="F391" s="3">
        <v>45036.0</v>
      </c>
      <c r="G391" s="3">
        <v>45088.0</v>
      </c>
      <c r="H391" s="11">
        <v>7.8061849E7</v>
      </c>
      <c r="I391" s="2">
        <v>7.2523888E7</v>
      </c>
      <c r="J391" s="2" t="s">
        <v>20</v>
      </c>
      <c r="K391" s="2" t="s">
        <v>30</v>
      </c>
      <c r="L391" s="2">
        <v>46.0</v>
      </c>
      <c r="M391" s="2">
        <v>52.0</v>
      </c>
      <c r="N391" s="11">
        <v>304929.0</v>
      </c>
      <c r="O391" s="4">
        <v>45017.0</v>
      </c>
      <c r="P391" s="2" t="b">
        <v>1</v>
      </c>
    </row>
    <row r="392">
      <c r="A392" s="2" t="s">
        <v>494</v>
      </c>
      <c r="B392" s="2" t="s">
        <v>78</v>
      </c>
      <c r="C392" s="2" t="s">
        <v>101</v>
      </c>
      <c r="D392" s="2" t="s">
        <v>37</v>
      </c>
      <c r="E392" s="2">
        <v>374.0</v>
      </c>
      <c r="F392" s="3">
        <v>45730.0</v>
      </c>
      <c r="G392" s="3">
        <v>45937.0</v>
      </c>
      <c r="H392" s="11">
        <v>2.3692245E8</v>
      </c>
      <c r="I392" s="2">
        <v>2.31565441E8</v>
      </c>
      <c r="J392" s="2" t="s">
        <v>20</v>
      </c>
      <c r="K392" s="2" t="s">
        <v>73</v>
      </c>
      <c r="L392" s="2">
        <v>31.0</v>
      </c>
      <c r="M392" s="2">
        <v>207.0</v>
      </c>
      <c r="N392" s="11">
        <v>633482.0</v>
      </c>
      <c r="O392" s="4">
        <v>45717.0</v>
      </c>
      <c r="P392" s="2" t="b">
        <v>1</v>
      </c>
    </row>
    <row r="393">
      <c r="A393" s="2" t="s">
        <v>495</v>
      </c>
      <c r="B393" s="2" t="s">
        <v>163</v>
      </c>
      <c r="C393" s="2" t="s">
        <v>64</v>
      </c>
      <c r="D393" s="2" t="s">
        <v>58</v>
      </c>
      <c r="E393" s="2">
        <v>271.0</v>
      </c>
      <c r="F393" s="3">
        <v>45589.0</v>
      </c>
      <c r="G393" s="3">
        <v>45664.0</v>
      </c>
      <c r="H393" s="11">
        <v>1.41438318E8</v>
      </c>
      <c r="I393" s="2">
        <v>1.48155702E8</v>
      </c>
      <c r="J393" s="2" t="s">
        <v>20</v>
      </c>
      <c r="K393" s="2" t="s">
        <v>30</v>
      </c>
      <c r="L393" s="2">
        <v>175.0</v>
      </c>
      <c r="M393" s="2">
        <v>75.0</v>
      </c>
      <c r="N393" s="11">
        <v>521913.0</v>
      </c>
      <c r="O393" s="6">
        <v>45566.0</v>
      </c>
      <c r="P393" s="2" t="b">
        <v>1</v>
      </c>
    </row>
    <row r="394">
      <c r="A394" s="2" t="s">
        <v>496</v>
      </c>
      <c r="B394" s="2" t="s">
        <v>113</v>
      </c>
      <c r="C394" s="2" t="s">
        <v>28</v>
      </c>
      <c r="D394" s="2" t="s">
        <v>49</v>
      </c>
      <c r="E394" s="2">
        <v>149.0</v>
      </c>
      <c r="F394" s="3">
        <v>45247.0</v>
      </c>
      <c r="G394" s="2" t="s">
        <v>414</v>
      </c>
      <c r="H394" s="11">
        <v>1.51633046E8</v>
      </c>
      <c r="I394" s="2" t="s">
        <v>414</v>
      </c>
      <c r="J394" s="2" t="s">
        <v>41</v>
      </c>
      <c r="K394" s="2" t="s">
        <v>30</v>
      </c>
      <c r="L394" s="2">
        <v>56.0</v>
      </c>
      <c r="N394" s="11">
        <v>1017671.0</v>
      </c>
      <c r="O394" s="6">
        <v>45231.0</v>
      </c>
      <c r="P394" s="2" t="b">
        <v>0</v>
      </c>
    </row>
    <row r="395">
      <c r="A395" s="2" t="s">
        <v>497</v>
      </c>
      <c r="B395" s="2" t="s">
        <v>32</v>
      </c>
      <c r="C395" s="2" t="s">
        <v>64</v>
      </c>
      <c r="D395" s="2" t="s">
        <v>81</v>
      </c>
      <c r="E395" s="2">
        <v>2247.0</v>
      </c>
      <c r="F395" s="3">
        <v>45486.0</v>
      </c>
      <c r="G395" s="2" t="s">
        <v>414</v>
      </c>
      <c r="H395" s="11">
        <v>7.04038687E8</v>
      </c>
      <c r="I395" s="2" t="s">
        <v>414</v>
      </c>
      <c r="J395" s="2" t="s">
        <v>41</v>
      </c>
      <c r="K395" s="2" t="s">
        <v>42</v>
      </c>
      <c r="L395" s="2">
        <v>80.0</v>
      </c>
      <c r="N395" s="11">
        <v>313324.0</v>
      </c>
      <c r="O395" s="4">
        <v>45474.0</v>
      </c>
      <c r="P395" s="2" t="b">
        <v>0</v>
      </c>
    </row>
    <row r="396">
      <c r="A396" s="2" t="s">
        <v>498</v>
      </c>
      <c r="B396" s="2" t="s">
        <v>71</v>
      </c>
      <c r="C396" s="2" t="s">
        <v>24</v>
      </c>
      <c r="D396" s="2" t="s">
        <v>33</v>
      </c>
      <c r="E396" s="2">
        <v>76.0</v>
      </c>
      <c r="F396" s="3">
        <v>45453.0</v>
      </c>
      <c r="G396" s="3">
        <v>45478.0</v>
      </c>
      <c r="H396" s="11">
        <v>5.0457314E7</v>
      </c>
      <c r="I396" s="2">
        <v>5.0914244E7</v>
      </c>
      <c r="J396" s="2" t="s">
        <v>20</v>
      </c>
      <c r="K396" s="2" t="s">
        <v>42</v>
      </c>
      <c r="L396" s="2">
        <v>46.0</v>
      </c>
      <c r="M396" s="2">
        <v>25.0</v>
      </c>
      <c r="N396" s="11">
        <v>663912.0</v>
      </c>
      <c r="O396" s="4">
        <v>45444.0</v>
      </c>
      <c r="P396" s="2" t="b">
        <v>1</v>
      </c>
    </row>
    <row r="397">
      <c r="A397" s="2" t="s">
        <v>499</v>
      </c>
      <c r="B397" s="2" t="s">
        <v>123</v>
      </c>
      <c r="C397" s="2" t="s">
        <v>64</v>
      </c>
      <c r="D397" s="2" t="s">
        <v>37</v>
      </c>
      <c r="E397" s="2">
        <v>302.0</v>
      </c>
      <c r="F397" s="3">
        <v>45653.0</v>
      </c>
      <c r="G397" s="2" t="s">
        <v>414</v>
      </c>
      <c r="H397" s="11">
        <v>2.72514695E8</v>
      </c>
      <c r="I397" s="2" t="s">
        <v>414</v>
      </c>
      <c r="J397" s="2" t="s">
        <v>41</v>
      </c>
      <c r="K397" s="2" t="s">
        <v>30</v>
      </c>
      <c r="L397" s="2">
        <v>157.0</v>
      </c>
      <c r="N397" s="11">
        <v>902367.0</v>
      </c>
      <c r="O397" s="6">
        <v>45627.0</v>
      </c>
      <c r="P397" s="2" t="b">
        <v>0</v>
      </c>
    </row>
    <row r="398">
      <c r="A398" s="2" t="s">
        <v>500</v>
      </c>
      <c r="B398" s="2" t="s">
        <v>145</v>
      </c>
      <c r="C398" s="2" t="s">
        <v>28</v>
      </c>
      <c r="D398" s="2" t="s">
        <v>29</v>
      </c>
      <c r="E398" s="2">
        <v>2867.0</v>
      </c>
      <c r="F398" s="3">
        <v>45490.0</v>
      </c>
      <c r="G398" s="3">
        <v>45686.0</v>
      </c>
      <c r="H398" s="11">
        <v>1.071562545E9</v>
      </c>
      <c r="I398" s="2">
        <v>1.02355003E9</v>
      </c>
      <c r="J398" s="2" t="s">
        <v>20</v>
      </c>
      <c r="K398" s="2" t="s">
        <v>42</v>
      </c>
      <c r="L398" s="2">
        <v>138.0</v>
      </c>
      <c r="M398" s="2">
        <v>196.0</v>
      </c>
      <c r="N398" s="11">
        <v>373757.0</v>
      </c>
      <c r="O398" s="4">
        <v>45474.0</v>
      </c>
      <c r="P398" s="2" t="b">
        <v>1</v>
      </c>
    </row>
    <row r="399">
      <c r="A399" s="2" t="s">
        <v>501</v>
      </c>
      <c r="B399" s="2" t="s">
        <v>52</v>
      </c>
      <c r="C399" s="2" t="s">
        <v>28</v>
      </c>
      <c r="D399" s="2" t="s">
        <v>58</v>
      </c>
      <c r="E399" s="2">
        <v>90.0</v>
      </c>
      <c r="F399" s="3">
        <v>45476.0</v>
      </c>
      <c r="G399" s="3">
        <v>45580.0</v>
      </c>
      <c r="H399" s="11">
        <v>7.8973027E7</v>
      </c>
      <c r="I399" s="2">
        <v>7.5351056E7</v>
      </c>
      <c r="J399" s="2" t="s">
        <v>20</v>
      </c>
      <c r="K399" s="2" t="s">
        <v>30</v>
      </c>
      <c r="L399" s="2">
        <v>89.0</v>
      </c>
      <c r="M399" s="2">
        <v>104.0</v>
      </c>
      <c r="N399" s="11">
        <v>877478.0</v>
      </c>
      <c r="O399" s="4">
        <v>45474.0</v>
      </c>
      <c r="P399" s="2" t="b">
        <v>1</v>
      </c>
    </row>
    <row r="400">
      <c r="A400" s="2" t="s">
        <v>502</v>
      </c>
      <c r="B400" s="2" t="s">
        <v>66</v>
      </c>
      <c r="C400" s="2" t="s">
        <v>24</v>
      </c>
      <c r="D400" s="2" t="s">
        <v>72</v>
      </c>
      <c r="E400" s="2">
        <v>338.0</v>
      </c>
      <c r="F400" s="3">
        <v>45501.0</v>
      </c>
      <c r="G400" s="2" t="s">
        <v>414</v>
      </c>
      <c r="H400" s="11">
        <v>3.37533603E8</v>
      </c>
      <c r="I400" s="2" t="s">
        <v>414</v>
      </c>
      <c r="J400" s="2" t="s">
        <v>34</v>
      </c>
      <c r="K400" s="2" t="s">
        <v>30</v>
      </c>
      <c r="L400" s="2">
        <v>119.0</v>
      </c>
      <c r="N400" s="11">
        <v>998620.0</v>
      </c>
      <c r="O400" s="4">
        <v>45474.0</v>
      </c>
      <c r="P400" s="2" t="b">
        <v>0</v>
      </c>
    </row>
    <row r="401">
      <c r="A401" s="2" t="s">
        <v>503</v>
      </c>
      <c r="B401" s="2" t="s">
        <v>78</v>
      </c>
      <c r="C401" s="2" t="s">
        <v>28</v>
      </c>
      <c r="D401" s="2" t="s">
        <v>29</v>
      </c>
      <c r="E401" s="2">
        <v>2397.0</v>
      </c>
      <c r="F401" s="3">
        <v>45833.0</v>
      </c>
      <c r="G401" s="3">
        <v>45877.0</v>
      </c>
      <c r="H401" s="11">
        <v>9.20841151E8</v>
      </c>
      <c r="I401" s="2">
        <v>9.26769498E8</v>
      </c>
      <c r="J401" s="2" t="s">
        <v>20</v>
      </c>
      <c r="K401" s="2" t="s">
        <v>30</v>
      </c>
      <c r="L401" s="2">
        <v>11.0</v>
      </c>
      <c r="M401" s="2">
        <v>44.0</v>
      </c>
      <c r="N401" s="11">
        <v>384164.0</v>
      </c>
      <c r="O401" s="4">
        <v>45809.0</v>
      </c>
      <c r="P401" s="2" t="b">
        <v>1</v>
      </c>
    </row>
    <row r="402">
      <c r="A402" s="2" t="s">
        <v>504</v>
      </c>
      <c r="B402" s="2" t="s">
        <v>66</v>
      </c>
      <c r="C402" s="2" t="s">
        <v>93</v>
      </c>
      <c r="D402" s="2" t="s">
        <v>67</v>
      </c>
      <c r="E402" s="2">
        <v>41.0</v>
      </c>
      <c r="F402" s="3">
        <v>45425.0</v>
      </c>
      <c r="G402" s="3">
        <v>45606.0</v>
      </c>
      <c r="H402" s="11">
        <v>7981512.0</v>
      </c>
      <c r="I402" s="2">
        <v>7999256.0</v>
      </c>
      <c r="J402" s="2" t="s">
        <v>20</v>
      </c>
      <c r="K402" s="2" t="s">
        <v>21</v>
      </c>
      <c r="L402" s="2">
        <v>47.0</v>
      </c>
      <c r="M402" s="2">
        <v>181.0</v>
      </c>
      <c r="N402" s="11">
        <v>194671.0</v>
      </c>
      <c r="O402" s="4">
        <v>45413.0</v>
      </c>
      <c r="P402" s="2" t="b">
        <v>1</v>
      </c>
    </row>
    <row r="403">
      <c r="A403" s="2" t="s">
        <v>505</v>
      </c>
      <c r="B403" s="2" t="s">
        <v>78</v>
      </c>
      <c r="C403" s="2" t="s">
        <v>101</v>
      </c>
      <c r="D403" s="2" t="s">
        <v>58</v>
      </c>
      <c r="E403" s="2">
        <v>186.0</v>
      </c>
      <c r="F403" s="3">
        <v>44994.0</v>
      </c>
      <c r="G403" s="3">
        <v>45170.0</v>
      </c>
      <c r="H403" s="11">
        <v>6.4049392E7</v>
      </c>
      <c r="I403" s="2">
        <v>6.7789372E7</v>
      </c>
      <c r="J403" s="2" t="s">
        <v>20</v>
      </c>
      <c r="K403" s="2" t="s">
        <v>73</v>
      </c>
      <c r="L403" s="2">
        <v>31.0</v>
      </c>
      <c r="M403" s="2">
        <v>176.0</v>
      </c>
      <c r="N403" s="11">
        <v>344352.0</v>
      </c>
      <c r="O403" s="4">
        <v>44986.0</v>
      </c>
      <c r="P403" s="2" t="b">
        <v>1</v>
      </c>
    </row>
    <row r="404">
      <c r="A404" s="2" t="s">
        <v>506</v>
      </c>
      <c r="B404" s="2" t="s">
        <v>56</v>
      </c>
      <c r="C404" s="2" t="s">
        <v>28</v>
      </c>
      <c r="D404" s="2" t="s">
        <v>49</v>
      </c>
      <c r="E404" s="2">
        <v>215.0</v>
      </c>
      <c r="F404" s="3">
        <v>45629.0</v>
      </c>
      <c r="G404" s="3">
        <v>45761.0</v>
      </c>
      <c r="H404" s="11">
        <v>2.908368E8</v>
      </c>
      <c r="I404" s="2">
        <v>2.69332853E8</v>
      </c>
      <c r="J404" s="2" t="s">
        <v>20</v>
      </c>
      <c r="K404" s="2" t="s">
        <v>21</v>
      </c>
      <c r="L404" s="2">
        <v>18.0</v>
      </c>
      <c r="M404" s="2">
        <v>132.0</v>
      </c>
      <c r="N404" s="11">
        <v>1352729.0</v>
      </c>
      <c r="O404" s="6">
        <v>45627.0</v>
      </c>
      <c r="P404" s="2" t="b">
        <v>1</v>
      </c>
    </row>
    <row r="405">
      <c r="A405" s="2" t="s">
        <v>507</v>
      </c>
      <c r="B405" s="2" t="s">
        <v>86</v>
      </c>
      <c r="C405" s="2" t="s">
        <v>28</v>
      </c>
      <c r="D405" s="2" t="s">
        <v>37</v>
      </c>
      <c r="E405" s="2">
        <v>585.0</v>
      </c>
      <c r="F405" s="3">
        <v>45768.0</v>
      </c>
      <c r="G405" s="3">
        <v>45849.0</v>
      </c>
      <c r="H405" s="11">
        <v>1.108229451E9</v>
      </c>
      <c r="I405" s="2">
        <v>1.099563214E9</v>
      </c>
      <c r="J405" s="2" t="s">
        <v>20</v>
      </c>
      <c r="K405" s="2" t="s">
        <v>73</v>
      </c>
      <c r="L405" s="2">
        <v>115.0</v>
      </c>
      <c r="M405" s="2">
        <v>81.0</v>
      </c>
      <c r="N405" s="11">
        <v>1894409.0</v>
      </c>
      <c r="O405" s="4">
        <v>45748.0</v>
      </c>
      <c r="P405" s="2" t="b">
        <v>1</v>
      </c>
    </row>
    <row r="406">
      <c r="A406" s="2" t="s">
        <v>508</v>
      </c>
      <c r="B406" s="2" t="s">
        <v>86</v>
      </c>
      <c r="C406" s="2" t="s">
        <v>24</v>
      </c>
      <c r="D406" s="2" t="s">
        <v>49</v>
      </c>
      <c r="E406" s="2">
        <v>222.0</v>
      </c>
      <c r="F406" s="3">
        <v>44933.0</v>
      </c>
      <c r="G406" s="3">
        <v>45106.0</v>
      </c>
      <c r="H406" s="11">
        <v>1.76827103E8</v>
      </c>
      <c r="I406" s="2">
        <v>1.83785632E8</v>
      </c>
      <c r="J406" s="2" t="s">
        <v>20</v>
      </c>
      <c r="K406" s="2" t="s">
        <v>21</v>
      </c>
      <c r="L406" s="2">
        <v>23.0</v>
      </c>
      <c r="M406" s="2">
        <v>173.0</v>
      </c>
      <c r="N406" s="11">
        <v>796518.0</v>
      </c>
      <c r="O406" s="4">
        <v>44927.0</v>
      </c>
      <c r="P406" s="2" t="b">
        <v>1</v>
      </c>
    </row>
    <row r="407">
      <c r="A407" s="2" t="s">
        <v>509</v>
      </c>
      <c r="B407" s="2" t="s">
        <v>220</v>
      </c>
      <c r="C407" s="2" t="s">
        <v>24</v>
      </c>
      <c r="D407" s="2" t="s">
        <v>58</v>
      </c>
      <c r="E407" s="2">
        <v>77.0</v>
      </c>
      <c r="F407" s="3">
        <v>45235.0</v>
      </c>
      <c r="G407" s="3">
        <v>45322.0</v>
      </c>
      <c r="H407" s="11">
        <v>6.3649619E7</v>
      </c>
      <c r="I407" s="2">
        <v>6.3014916E7</v>
      </c>
      <c r="J407" s="2" t="s">
        <v>20</v>
      </c>
      <c r="K407" s="2" t="s">
        <v>73</v>
      </c>
      <c r="L407" s="2">
        <v>174.0</v>
      </c>
      <c r="M407" s="2">
        <v>87.0</v>
      </c>
      <c r="N407" s="11">
        <v>826618.0</v>
      </c>
      <c r="O407" s="6">
        <v>45231.0</v>
      </c>
      <c r="P407" s="2" t="b">
        <v>1</v>
      </c>
    </row>
    <row r="408">
      <c r="A408" s="2" t="s">
        <v>510</v>
      </c>
      <c r="B408" s="2" t="s">
        <v>23</v>
      </c>
      <c r="C408" s="2" t="s">
        <v>28</v>
      </c>
      <c r="D408" s="2" t="s">
        <v>102</v>
      </c>
      <c r="E408" s="2">
        <v>168.0</v>
      </c>
      <c r="F408" s="3">
        <v>45691.0</v>
      </c>
      <c r="G408" s="3">
        <v>45845.0</v>
      </c>
      <c r="H408" s="11">
        <v>1.72786462E8</v>
      </c>
      <c r="I408" s="2">
        <v>1.76492266E8</v>
      </c>
      <c r="J408" s="2" t="s">
        <v>20</v>
      </c>
      <c r="K408" s="2" t="s">
        <v>30</v>
      </c>
      <c r="L408" s="2">
        <v>178.0</v>
      </c>
      <c r="M408" s="2">
        <v>154.0</v>
      </c>
      <c r="N408" s="11">
        <v>1028491.0</v>
      </c>
      <c r="O408" s="4">
        <v>45689.0</v>
      </c>
      <c r="P408" s="2" t="b">
        <v>1</v>
      </c>
    </row>
    <row r="409">
      <c r="A409" s="2" t="s">
        <v>511</v>
      </c>
      <c r="B409" s="2" t="s">
        <v>275</v>
      </c>
      <c r="C409" s="2" t="s">
        <v>40</v>
      </c>
      <c r="D409" s="2" t="s">
        <v>67</v>
      </c>
      <c r="E409" s="2">
        <v>25.0</v>
      </c>
      <c r="F409" s="3">
        <v>45071.0</v>
      </c>
      <c r="G409" s="3">
        <v>45087.0</v>
      </c>
      <c r="H409" s="11">
        <v>4721007.0</v>
      </c>
      <c r="I409" s="2">
        <v>4641000.0</v>
      </c>
      <c r="J409" s="2" t="s">
        <v>20</v>
      </c>
      <c r="K409" s="2" t="s">
        <v>25</v>
      </c>
      <c r="L409" s="2">
        <v>26.0</v>
      </c>
      <c r="M409" s="2">
        <v>16.0</v>
      </c>
      <c r="N409" s="11">
        <v>188840.0</v>
      </c>
      <c r="O409" s="4">
        <v>45047.0</v>
      </c>
      <c r="P409" s="2" t="b">
        <v>1</v>
      </c>
    </row>
    <row r="410">
      <c r="A410" s="2" t="s">
        <v>512</v>
      </c>
      <c r="B410" s="2" t="s">
        <v>113</v>
      </c>
      <c r="C410" s="2" t="s">
        <v>24</v>
      </c>
      <c r="D410" s="2" t="s">
        <v>67</v>
      </c>
      <c r="E410" s="2">
        <v>31.0</v>
      </c>
      <c r="F410" s="3">
        <v>45798.0</v>
      </c>
      <c r="G410" s="3">
        <v>45854.0</v>
      </c>
      <c r="H410" s="11">
        <v>1.3027336E7</v>
      </c>
      <c r="I410" s="2">
        <v>1.3270967E7</v>
      </c>
      <c r="J410" s="2" t="s">
        <v>20</v>
      </c>
      <c r="K410" s="2" t="s">
        <v>30</v>
      </c>
      <c r="L410" s="2">
        <v>54.0</v>
      </c>
      <c r="M410" s="2">
        <v>56.0</v>
      </c>
      <c r="N410" s="11">
        <v>420237.0</v>
      </c>
      <c r="O410" s="4">
        <v>45778.0</v>
      </c>
      <c r="P410" s="2" t="b">
        <v>1</v>
      </c>
    </row>
    <row r="411">
      <c r="A411" s="2" t="s">
        <v>513</v>
      </c>
      <c r="B411" s="2" t="s">
        <v>66</v>
      </c>
      <c r="C411" s="2" t="s">
        <v>28</v>
      </c>
      <c r="D411" s="2" t="s">
        <v>29</v>
      </c>
      <c r="E411" s="2">
        <v>845.0</v>
      </c>
      <c r="F411" s="3">
        <v>45587.0</v>
      </c>
      <c r="G411" s="3">
        <v>45676.0</v>
      </c>
      <c r="H411" s="11">
        <v>3.61569452E8</v>
      </c>
      <c r="I411" s="2">
        <v>3.47146453E8</v>
      </c>
      <c r="J411" s="2" t="s">
        <v>20</v>
      </c>
      <c r="K411" s="2" t="s">
        <v>42</v>
      </c>
      <c r="L411" s="2">
        <v>153.0</v>
      </c>
      <c r="M411" s="2">
        <v>89.0</v>
      </c>
      <c r="N411" s="11">
        <v>427893.0</v>
      </c>
      <c r="O411" s="6">
        <v>45566.0</v>
      </c>
      <c r="P411" s="2" t="b">
        <v>1</v>
      </c>
    </row>
    <row r="412">
      <c r="A412" s="2" t="s">
        <v>514</v>
      </c>
      <c r="B412" s="2" t="s">
        <v>71</v>
      </c>
      <c r="C412" s="2" t="s">
        <v>64</v>
      </c>
      <c r="D412" s="2" t="s">
        <v>67</v>
      </c>
      <c r="E412" s="2">
        <v>36.0</v>
      </c>
      <c r="F412" s="3">
        <v>45598.0</v>
      </c>
      <c r="G412" s="3">
        <v>45685.0</v>
      </c>
      <c r="H412" s="11">
        <v>1.2449123E7</v>
      </c>
      <c r="I412" s="2">
        <v>1.3246103E7</v>
      </c>
      <c r="J412" s="2" t="s">
        <v>20</v>
      </c>
      <c r="K412" s="2" t="s">
        <v>30</v>
      </c>
      <c r="L412" s="2">
        <v>129.0</v>
      </c>
      <c r="M412" s="2">
        <v>87.0</v>
      </c>
      <c r="N412" s="11">
        <v>345809.0</v>
      </c>
      <c r="O412" s="6">
        <v>45597.0</v>
      </c>
      <c r="P412" s="2" t="b">
        <v>1</v>
      </c>
    </row>
    <row r="413">
      <c r="A413" s="2" t="s">
        <v>515</v>
      </c>
      <c r="B413" s="2" t="s">
        <v>135</v>
      </c>
      <c r="C413" s="2" t="s">
        <v>64</v>
      </c>
      <c r="D413" s="2" t="s">
        <v>29</v>
      </c>
      <c r="E413" s="2">
        <v>2904.0</v>
      </c>
      <c r="F413" s="3">
        <v>45506.0</v>
      </c>
      <c r="G413" s="3">
        <v>45601.0</v>
      </c>
      <c r="H413" s="11">
        <v>7.25350586E8</v>
      </c>
      <c r="I413" s="2">
        <v>6.86894182E8</v>
      </c>
      <c r="J413" s="2" t="s">
        <v>20</v>
      </c>
      <c r="K413" s="2" t="s">
        <v>30</v>
      </c>
      <c r="L413" s="2">
        <v>68.0</v>
      </c>
      <c r="M413" s="2">
        <v>95.0</v>
      </c>
      <c r="N413" s="11">
        <v>249776.0</v>
      </c>
      <c r="O413" s="4">
        <v>45505.0</v>
      </c>
      <c r="P413" s="2" t="b">
        <v>1</v>
      </c>
    </row>
    <row r="414">
      <c r="A414" s="2" t="s">
        <v>516</v>
      </c>
      <c r="B414" s="2" t="s">
        <v>88</v>
      </c>
      <c r="C414" s="2" t="s">
        <v>57</v>
      </c>
      <c r="D414" s="2" t="s">
        <v>49</v>
      </c>
      <c r="E414" s="2">
        <v>120.0</v>
      </c>
      <c r="F414" s="3">
        <v>45622.0</v>
      </c>
      <c r="G414" s="2" t="s">
        <v>414</v>
      </c>
      <c r="H414" s="11">
        <v>5.5649091E7</v>
      </c>
      <c r="I414" s="2" t="s">
        <v>414</v>
      </c>
      <c r="J414" s="2" t="s">
        <v>69</v>
      </c>
      <c r="K414" s="2" t="s">
        <v>30</v>
      </c>
      <c r="L414" s="2">
        <v>83.0</v>
      </c>
      <c r="N414" s="11">
        <v>463742.0</v>
      </c>
      <c r="O414" s="6">
        <v>45597.0</v>
      </c>
      <c r="P414" s="2" t="b">
        <v>0</v>
      </c>
    </row>
    <row r="415">
      <c r="A415" s="2" t="s">
        <v>517</v>
      </c>
      <c r="B415" s="2" t="s">
        <v>204</v>
      </c>
      <c r="C415" s="2" t="s">
        <v>64</v>
      </c>
      <c r="D415" s="2" t="s">
        <v>33</v>
      </c>
      <c r="E415" s="2">
        <v>76.0</v>
      </c>
      <c r="F415" s="3">
        <v>45788.0</v>
      </c>
      <c r="G415" s="3">
        <v>45838.0</v>
      </c>
      <c r="H415" s="11">
        <v>4.1262943E7</v>
      </c>
      <c r="I415" s="2">
        <v>3.9258765E7</v>
      </c>
      <c r="J415" s="2" t="s">
        <v>20</v>
      </c>
      <c r="K415" s="2" t="s">
        <v>21</v>
      </c>
      <c r="L415" s="2">
        <v>24.0</v>
      </c>
      <c r="M415" s="2">
        <v>50.0</v>
      </c>
      <c r="N415" s="11">
        <v>542933.0</v>
      </c>
      <c r="O415" s="4">
        <v>45778.0</v>
      </c>
      <c r="P415" s="2" t="b">
        <v>1</v>
      </c>
    </row>
    <row r="416">
      <c r="A416" s="2" t="s">
        <v>518</v>
      </c>
      <c r="B416" s="2" t="s">
        <v>121</v>
      </c>
      <c r="C416" s="2" t="s">
        <v>40</v>
      </c>
      <c r="D416" s="2" t="s">
        <v>58</v>
      </c>
      <c r="E416" s="2">
        <v>211.0</v>
      </c>
      <c r="F416" s="3">
        <v>45519.0</v>
      </c>
      <c r="G416" s="3">
        <v>45685.0</v>
      </c>
      <c r="H416" s="11">
        <v>5.4259425E7</v>
      </c>
      <c r="I416" s="2">
        <v>5.0236903E7</v>
      </c>
      <c r="J416" s="2" t="s">
        <v>20</v>
      </c>
      <c r="K416" s="2" t="s">
        <v>30</v>
      </c>
      <c r="L416" s="2">
        <v>144.0</v>
      </c>
      <c r="M416" s="2">
        <v>166.0</v>
      </c>
      <c r="N416" s="11">
        <v>257154.0</v>
      </c>
      <c r="O416" s="4">
        <v>45505.0</v>
      </c>
      <c r="P416" s="2" t="b">
        <v>1</v>
      </c>
    </row>
    <row r="417">
      <c r="A417" s="2" t="s">
        <v>519</v>
      </c>
      <c r="B417" s="2" t="s">
        <v>160</v>
      </c>
      <c r="C417" s="2" t="s">
        <v>40</v>
      </c>
      <c r="D417" s="2" t="s">
        <v>58</v>
      </c>
      <c r="E417" s="2">
        <v>170.0</v>
      </c>
      <c r="F417" s="3">
        <v>45328.0</v>
      </c>
      <c r="G417" s="3">
        <v>45493.0</v>
      </c>
      <c r="H417" s="11">
        <v>5.3448841E7</v>
      </c>
      <c r="I417" s="2">
        <v>5.1661504E7</v>
      </c>
      <c r="J417" s="2" t="s">
        <v>20</v>
      </c>
      <c r="K417" s="2" t="s">
        <v>73</v>
      </c>
      <c r="L417" s="2">
        <v>133.0</v>
      </c>
      <c r="M417" s="2">
        <v>165.0</v>
      </c>
      <c r="N417" s="11">
        <v>314405.0</v>
      </c>
      <c r="O417" s="4">
        <v>45323.0</v>
      </c>
      <c r="P417" s="2" t="b">
        <v>1</v>
      </c>
    </row>
    <row r="418">
      <c r="A418" s="2" t="s">
        <v>520</v>
      </c>
      <c r="B418" s="2" t="s">
        <v>60</v>
      </c>
      <c r="C418" s="2" t="s">
        <v>64</v>
      </c>
      <c r="D418" s="2" t="s">
        <v>49</v>
      </c>
      <c r="E418" s="2">
        <v>143.0</v>
      </c>
      <c r="F418" s="3">
        <v>45605.0</v>
      </c>
      <c r="G418" s="3">
        <v>45777.0</v>
      </c>
      <c r="H418" s="11">
        <v>1.01230949E8</v>
      </c>
      <c r="I418" s="2">
        <v>1.05396903E8</v>
      </c>
      <c r="J418" s="2" t="s">
        <v>20</v>
      </c>
      <c r="K418" s="2" t="s">
        <v>42</v>
      </c>
      <c r="L418" s="2">
        <v>119.0</v>
      </c>
      <c r="M418" s="2">
        <v>172.0</v>
      </c>
      <c r="N418" s="11">
        <v>707909.0</v>
      </c>
      <c r="O418" s="6">
        <v>45597.0</v>
      </c>
      <c r="P418" s="2" t="b">
        <v>1</v>
      </c>
    </row>
    <row r="419">
      <c r="A419" s="2" t="s">
        <v>521</v>
      </c>
      <c r="B419" s="2" t="s">
        <v>95</v>
      </c>
      <c r="C419" s="2" t="s">
        <v>28</v>
      </c>
      <c r="D419" s="2" t="s">
        <v>29</v>
      </c>
      <c r="E419" s="2">
        <v>1597.0</v>
      </c>
      <c r="F419" s="3">
        <v>44968.0</v>
      </c>
      <c r="G419" s="3">
        <v>45107.0</v>
      </c>
      <c r="H419" s="11">
        <v>5.75850629E8</v>
      </c>
      <c r="I419" s="2">
        <v>5.54139412E8</v>
      </c>
      <c r="J419" s="2" t="s">
        <v>20</v>
      </c>
      <c r="K419" s="2" t="s">
        <v>42</v>
      </c>
      <c r="L419" s="2">
        <v>15.0</v>
      </c>
      <c r="M419" s="2">
        <v>139.0</v>
      </c>
      <c r="N419" s="11">
        <v>360583.0</v>
      </c>
      <c r="O419" s="4">
        <v>44958.0</v>
      </c>
      <c r="P419" s="2" t="b">
        <v>1</v>
      </c>
    </row>
    <row r="420">
      <c r="A420" s="2" t="s">
        <v>522</v>
      </c>
      <c r="B420" s="2" t="s">
        <v>123</v>
      </c>
      <c r="C420" s="2" t="s">
        <v>18</v>
      </c>
      <c r="D420" s="2" t="s">
        <v>58</v>
      </c>
      <c r="E420" s="2">
        <v>282.0</v>
      </c>
      <c r="F420" s="3">
        <v>45407.0</v>
      </c>
      <c r="G420" s="2" t="s">
        <v>414</v>
      </c>
      <c r="H420" s="11">
        <v>7.5213985E7</v>
      </c>
      <c r="I420" s="2" t="s">
        <v>414</v>
      </c>
      <c r="J420" s="2" t="s">
        <v>41</v>
      </c>
      <c r="K420" s="2" t="s">
        <v>30</v>
      </c>
      <c r="L420" s="2">
        <v>31.0</v>
      </c>
      <c r="N420" s="11">
        <v>266716.0</v>
      </c>
      <c r="O420" s="4">
        <v>45383.0</v>
      </c>
      <c r="P420" s="2" t="b">
        <v>0</v>
      </c>
    </row>
    <row r="421">
      <c r="A421" s="2" t="s">
        <v>523</v>
      </c>
      <c r="B421" s="2" t="s">
        <v>220</v>
      </c>
      <c r="C421" s="2" t="s">
        <v>18</v>
      </c>
      <c r="D421" s="2" t="s">
        <v>58</v>
      </c>
      <c r="E421" s="2">
        <v>212.0</v>
      </c>
      <c r="F421" s="3">
        <v>45196.0</v>
      </c>
      <c r="G421" s="3">
        <v>45356.0</v>
      </c>
      <c r="H421" s="11">
        <v>6.0042279E7</v>
      </c>
      <c r="I421" s="2">
        <v>6.1518601E7</v>
      </c>
      <c r="J421" s="2" t="s">
        <v>20</v>
      </c>
      <c r="K421" s="2" t="s">
        <v>30</v>
      </c>
      <c r="L421" s="2">
        <v>155.0</v>
      </c>
      <c r="M421" s="2">
        <v>160.0</v>
      </c>
      <c r="N421" s="11">
        <v>283218.0</v>
      </c>
      <c r="O421" s="4">
        <v>45170.0</v>
      </c>
      <c r="P421" s="2" t="b">
        <v>1</v>
      </c>
    </row>
    <row r="422">
      <c r="A422" s="2" t="s">
        <v>524</v>
      </c>
      <c r="B422" s="2" t="s">
        <v>39</v>
      </c>
      <c r="C422" s="2" t="s">
        <v>18</v>
      </c>
      <c r="D422" s="2" t="s">
        <v>33</v>
      </c>
      <c r="E422" s="2">
        <v>98.0</v>
      </c>
      <c r="F422" s="3">
        <v>45923.0</v>
      </c>
      <c r="G422" s="2" t="s">
        <v>414</v>
      </c>
      <c r="H422" s="11">
        <v>2.7778524E7</v>
      </c>
      <c r="I422" s="2" t="s">
        <v>414</v>
      </c>
      <c r="J422" s="2" t="s">
        <v>34</v>
      </c>
      <c r="K422" s="2" t="s">
        <v>30</v>
      </c>
      <c r="L422" s="2">
        <v>129.0</v>
      </c>
      <c r="N422" s="11">
        <v>283454.0</v>
      </c>
      <c r="O422" s="4">
        <v>45901.0</v>
      </c>
      <c r="P422" s="2" t="b">
        <v>0</v>
      </c>
    </row>
    <row r="423">
      <c r="A423" s="2" t="s">
        <v>525</v>
      </c>
      <c r="B423" s="2" t="s">
        <v>84</v>
      </c>
      <c r="C423" s="2" t="s">
        <v>57</v>
      </c>
      <c r="D423" s="2" t="s">
        <v>29</v>
      </c>
      <c r="E423" s="2">
        <v>454.0</v>
      </c>
      <c r="F423" s="3">
        <v>45377.0</v>
      </c>
      <c r="G423" s="3">
        <v>45411.0</v>
      </c>
      <c r="H423" s="11">
        <v>6.902506E7</v>
      </c>
      <c r="I423" s="2">
        <v>6.6604318E7</v>
      </c>
      <c r="J423" s="2" t="s">
        <v>20</v>
      </c>
      <c r="K423" s="2" t="s">
        <v>42</v>
      </c>
      <c r="L423" s="2">
        <v>52.0</v>
      </c>
      <c r="M423" s="2">
        <v>34.0</v>
      </c>
      <c r="N423" s="11">
        <v>152038.0</v>
      </c>
      <c r="O423" s="4">
        <v>45352.0</v>
      </c>
      <c r="P423" s="2" t="b">
        <v>1</v>
      </c>
    </row>
    <row r="424">
      <c r="A424" s="2" t="s">
        <v>526</v>
      </c>
      <c r="B424" s="2" t="s">
        <v>132</v>
      </c>
      <c r="C424" s="2" t="s">
        <v>28</v>
      </c>
      <c r="D424" s="2" t="s">
        <v>29</v>
      </c>
      <c r="E424" s="2">
        <v>1369.0</v>
      </c>
      <c r="F424" s="3">
        <v>45757.0</v>
      </c>
      <c r="G424" s="3">
        <v>45801.0</v>
      </c>
      <c r="H424" s="11">
        <v>5.45953157E8</v>
      </c>
      <c r="I424" s="2">
        <v>5.44102562E8</v>
      </c>
      <c r="J424" s="2" t="s">
        <v>20</v>
      </c>
      <c r="K424" s="2" t="s">
        <v>42</v>
      </c>
      <c r="L424" s="2">
        <v>156.0</v>
      </c>
      <c r="M424" s="2">
        <v>44.0</v>
      </c>
      <c r="N424" s="11">
        <v>398797.0</v>
      </c>
      <c r="O424" s="4">
        <v>45748.0</v>
      </c>
      <c r="P424" s="2" t="b">
        <v>1</v>
      </c>
    </row>
    <row r="425">
      <c r="A425" s="2" t="s">
        <v>527</v>
      </c>
      <c r="B425" s="2" t="s">
        <v>139</v>
      </c>
      <c r="C425" s="2" t="s">
        <v>28</v>
      </c>
      <c r="D425" s="2" t="s">
        <v>49</v>
      </c>
      <c r="E425" s="2">
        <v>55.0</v>
      </c>
      <c r="F425" s="3">
        <v>45057.0</v>
      </c>
      <c r="G425" s="3">
        <v>45113.0</v>
      </c>
      <c r="H425" s="11">
        <v>5.9159575E7</v>
      </c>
      <c r="I425" s="2">
        <v>5.9279245E7</v>
      </c>
      <c r="J425" s="2" t="s">
        <v>20</v>
      </c>
      <c r="K425" s="2" t="s">
        <v>25</v>
      </c>
      <c r="L425" s="2">
        <v>42.0</v>
      </c>
      <c r="M425" s="2">
        <v>56.0</v>
      </c>
      <c r="N425" s="11">
        <v>1075629.0</v>
      </c>
      <c r="O425" s="4">
        <v>45047.0</v>
      </c>
      <c r="P425" s="2" t="b">
        <v>1</v>
      </c>
    </row>
    <row r="426">
      <c r="A426" s="2" t="s">
        <v>528</v>
      </c>
      <c r="B426" s="2" t="s">
        <v>66</v>
      </c>
      <c r="C426" s="2" t="s">
        <v>28</v>
      </c>
      <c r="D426" s="2" t="s">
        <v>37</v>
      </c>
      <c r="E426" s="2">
        <v>392.0</v>
      </c>
      <c r="F426" s="3">
        <v>45540.0</v>
      </c>
      <c r="G426" s="2" t="s">
        <v>414</v>
      </c>
      <c r="H426" s="11">
        <v>6.28543692E8</v>
      </c>
      <c r="I426" s="2" t="s">
        <v>414</v>
      </c>
      <c r="J426" s="2" t="s">
        <v>34</v>
      </c>
      <c r="K426" s="2" t="s">
        <v>30</v>
      </c>
      <c r="L426" s="2">
        <v>26.0</v>
      </c>
      <c r="N426" s="11">
        <v>1603428.0</v>
      </c>
      <c r="O426" s="4">
        <v>45536.0</v>
      </c>
      <c r="P426" s="2" t="b">
        <v>0</v>
      </c>
    </row>
    <row r="427">
      <c r="A427" s="2" t="s">
        <v>529</v>
      </c>
      <c r="B427" s="2" t="s">
        <v>48</v>
      </c>
      <c r="C427" s="2" t="s">
        <v>28</v>
      </c>
      <c r="D427" s="2" t="s">
        <v>29</v>
      </c>
      <c r="E427" s="2">
        <v>4261.0</v>
      </c>
      <c r="F427" s="3">
        <v>45151.0</v>
      </c>
      <c r="G427" s="2" t="s">
        <v>414</v>
      </c>
      <c r="H427" s="11">
        <v>1.478396376E9</v>
      </c>
      <c r="I427" s="2" t="s">
        <v>414</v>
      </c>
      <c r="J427" s="2" t="s">
        <v>34</v>
      </c>
      <c r="K427" s="2" t="s">
        <v>25</v>
      </c>
      <c r="L427" s="2">
        <v>51.0</v>
      </c>
      <c r="N427" s="11">
        <v>346960.0</v>
      </c>
      <c r="O427" s="4">
        <v>45139.0</v>
      </c>
      <c r="P427" s="2" t="b">
        <v>0</v>
      </c>
    </row>
    <row r="428">
      <c r="A428" s="2" t="s">
        <v>530</v>
      </c>
      <c r="B428" s="2" t="s">
        <v>71</v>
      </c>
      <c r="C428" s="2" t="s">
        <v>64</v>
      </c>
      <c r="D428" s="2" t="s">
        <v>58</v>
      </c>
      <c r="E428" s="2">
        <v>117.0</v>
      </c>
      <c r="F428" s="3">
        <v>45629.0</v>
      </c>
      <c r="G428" s="3">
        <v>45760.0</v>
      </c>
      <c r="H428" s="11">
        <v>6.3047041E7</v>
      </c>
      <c r="I428" s="2">
        <v>5.8697732E7</v>
      </c>
      <c r="J428" s="2" t="s">
        <v>20</v>
      </c>
      <c r="K428" s="2" t="s">
        <v>73</v>
      </c>
      <c r="L428" s="2">
        <v>103.0</v>
      </c>
      <c r="M428" s="2">
        <v>131.0</v>
      </c>
      <c r="N428" s="11">
        <v>538864.0</v>
      </c>
      <c r="O428" s="6">
        <v>45627.0</v>
      </c>
      <c r="P428" s="2" t="b">
        <v>1</v>
      </c>
    </row>
    <row r="429">
      <c r="A429" s="2" t="s">
        <v>531</v>
      </c>
      <c r="B429" s="2" t="s">
        <v>275</v>
      </c>
      <c r="C429" s="2" t="s">
        <v>28</v>
      </c>
      <c r="D429" s="2" t="s">
        <v>19</v>
      </c>
      <c r="E429" s="2">
        <v>46.0</v>
      </c>
      <c r="F429" s="3">
        <v>45627.0</v>
      </c>
      <c r="G429" s="3">
        <v>45680.0</v>
      </c>
      <c r="H429" s="11">
        <v>3.6299413E7</v>
      </c>
      <c r="I429" s="2">
        <v>3.4425911E7</v>
      </c>
      <c r="J429" s="2" t="s">
        <v>20</v>
      </c>
      <c r="K429" s="2" t="s">
        <v>25</v>
      </c>
      <c r="L429" s="2">
        <v>158.0</v>
      </c>
      <c r="M429" s="2">
        <v>53.0</v>
      </c>
      <c r="N429" s="11">
        <v>789118.0</v>
      </c>
      <c r="O429" s="6">
        <v>45627.0</v>
      </c>
      <c r="P429" s="2" t="b">
        <v>1</v>
      </c>
    </row>
    <row r="430">
      <c r="A430" s="2" t="s">
        <v>532</v>
      </c>
      <c r="B430" s="2" t="s">
        <v>211</v>
      </c>
      <c r="C430" s="2" t="s">
        <v>28</v>
      </c>
      <c r="D430" s="2" t="s">
        <v>58</v>
      </c>
      <c r="E430" s="2">
        <v>178.0</v>
      </c>
      <c r="F430" s="3">
        <v>45420.0</v>
      </c>
      <c r="G430" s="3">
        <v>45589.0</v>
      </c>
      <c r="H430" s="11">
        <v>1.77366846E8</v>
      </c>
      <c r="I430" s="2">
        <v>1.63211558E8</v>
      </c>
      <c r="J430" s="2" t="s">
        <v>20</v>
      </c>
      <c r="K430" s="2" t="s">
        <v>73</v>
      </c>
      <c r="L430" s="2">
        <v>138.0</v>
      </c>
      <c r="M430" s="2">
        <v>169.0</v>
      </c>
      <c r="N430" s="11">
        <v>996443.0</v>
      </c>
      <c r="O430" s="4">
        <v>45413.0</v>
      </c>
      <c r="P430" s="2" t="b">
        <v>1</v>
      </c>
    </row>
    <row r="431">
      <c r="A431" s="2" t="s">
        <v>533</v>
      </c>
      <c r="B431" s="2" t="s">
        <v>66</v>
      </c>
      <c r="C431" s="2" t="s">
        <v>24</v>
      </c>
      <c r="D431" s="2" t="s">
        <v>19</v>
      </c>
      <c r="E431" s="2">
        <v>62.0</v>
      </c>
      <c r="F431" s="3">
        <v>45161.0</v>
      </c>
      <c r="G431" s="2" t="s">
        <v>414</v>
      </c>
      <c r="H431" s="11">
        <v>3.993524E7</v>
      </c>
      <c r="I431" s="2" t="s">
        <v>414</v>
      </c>
      <c r="J431" s="2" t="s">
        <v>69</v>
      </c>
      <c r="K431" s="2" t="s">
        <v>73</v>
      </c>
      <c r="L431" s="2">
        <v>94.0</v>
      </c>
      <c r="N431" s="11">
        <v>644117.0</v>
      </c>
      <c r="O431" s="4">
        <v>45139.0</v>
      </c>
      <c r="P431" s="2" t="b">
        <v>0</v>
      </c>
    </row>
    <row r="432">
      <c r="A432" s="2" t="s">
        <v>534</v>
      </c>
      <c r="B432" s="2" t="s">
        <v>323</v>
      </c>
      <c r="C432" s="2" t="s">
        <v>64</v>
      </c>
      <c r="D432" s="2" t="s">
        <v>29</v>
      </c>
      <c r="E432" s="2">
        <v>1200.0</v>
      </c>
      <c r="F432" s="3">
        <v>45187.0</v>
      </c>
      <c r="G432" s="3">
        <v>45261.0</v>
      </c>
      <c r="H432" s="11">
        <v>2.95010296E8</v>
      </c>
      <c r="I432" s="2">
        <v>2.753658E8</v>
      </c>
      <c r="J432" s="2" t="s">
        <v>20</v>
      </c>
      <c r="K432" s="2" t="s">
        <v>25</v>
      </c>
      <c r="L432" s="2">
        <v>144.0</v>
      </c>
      <c r="M432" s="2">
        <v>74.0</v>
      </c>
      <c r="N432" s="11">
        <v>245842.0</v>
      </c>
      <c r="O432" s="4">
        <v>45170.0</v>
      </c>
      <c r="P432" s="2" t="b">
        <v>1</v>
      </c>
    </row>
    <row r="433">
      <c r="A433" s="2" t="s">
        <v>535</v>
      </c>
      <c r="B433" s="2" t="s">
        <v>121</v>
      </c>
      <c r="C433" s="2" t="s">
        <v>24</v>
      </c>
      <c r="D433" s="2" t="s">
        <v>72</v>
      </c>
      <c r="E433" s="2">
        <v>181.0</v>
      </c>
      <c r="F433" s="3">
        <v>45462.0</v>
      </c>
      <c r="G433" s="3">
        <v>45478.0</v>
      </c>
      <c r="H433" s="11">
        <v>2.11772531E8</v>
      </c>
      <c r="I433" s="2">
        <v>2.01791054E8</v>
      </c>
      <c r="J433" s="2" t="s">
        <v>20</v>
      </c>
      <c r="K433" s="2" t="s">
        <v>30</v>
      </c>
      <c r="L433" s="2">
        <v>109.0</v>
      </c>
      <c r="M433" s="2">
        <v>16.0</v>
      </c>
      <c r="N433" s="11">
        <v>1170014.0</v>
      </c>
      <c r="O433" s="4">
        <v>45444.0</v>
      </c>
      <c r="P433" s="2" t="b">
        <v>1</v>
      </c>
    </row>
    <row r="434">
      <c r="A434" s="2" t="s">
        <v>536</v>
      </c>
      <c r="B434" s="2" t="s">
        <v>36</v>
      </c>
      <c r="C434" s="2" t="s">
        <v>24</v>
      </c>
      <c r="D434" s="2" t="s">
        <v>102</v>
      </c>
      <c r="E434" s="2">
        <v>154.0</v>
      </c>
      <c r="F434" s="3">
        <v>45194.0</v>
      </c>
      <c r="G434" s="2" t="s">
        <v>414</v>
      </c>
      <c r="H434" s="11">
        <v>1.34617995E8</v>
      </c>
      <c r="I434" s="2" t="s">
        <v>414</v>
      </c>
      <c r="J434" s="2" t="s">
        <v>69</v>
      </c>
      <c r="K434" s="2" t="s">
        <v>25</v>
      </c>
      <c r="L434" s="2">
        <v>75.0</v>
      </c>
      <c r="N434" s="11">
        <v>874143.0</v>
      </c>
      <c r="O434" s="4">
        <v>45170.0</v>
      </c>
      <c r="P434" s="2" t="b">
        <v>0</v>
      </c>
    </row>
    <row r="435">
      <c r="A435" s="2" t="s">
        <v>537</v>
      </c>
      <c r="B435" s="2" t="s">
        <v>132</v>
      </c>
      <c r="C435" s="2" t="s">
        <v>101</v>
      </c>
      <c r="D435" s="2" t="s">
        <v>49</v>
      </c>
      <c r="E435" s="2">
        <v>243.0</v>
      </c>
      <c r="F435" s="3">
        <v>45492.0</v>
      </c>
      <c r="G435" s="2" t="s">
        <v>414</v>
      </c>
      <c r="H435" s="11">
        <v>8.4642343E7</v>
      </c>
      <c r="I435" s="2" t="s">
        <v>414</v>
      </c>
      <c r="J435" s="2" t="s">
        <v>69</v>
      </c>
      <c r="K435" s="2" t="s">
        <v>25</v>
      </c>
      <c r="L435" s="2">
        <v>147.0</v>
      </c>
      <c r="N435" s="11">
        <v>348322.0</v>
      </c>
      <c r="O435" s="4">
        <v>45474.0</v>
      </c>
      <c r="P435" s="2" t="b">
        <v>0</v>
      </c>
    </row>
    <row r="436">
      <c r="A436" s="2" t="s">
        <v>538</v>
      </c>
      <c r="B436" s="2" t="s">
        <v>142</v>
      </c>
      <c r="C436" s="2" t="s">
        <v>64</v>
      </c>
      <c r="D436" s="2" t="s">
        <v>37</v>
      </c>
      <c r="E436" s="2">
        <v>595.0</v>
      </c>
      <c r="F436" s="3">
        <v>45334.0</v>
      </c>
      <c r="G436" s="2" t="s">
        <v>414</v>
      </c>
      <c r="H436" s="11">
        <v>5.28751487E8</v>
      </c>
      <c r="I436" s="2" t="s">
        <v>414</v>
      </c>
      <c r="J436" s="2" t="s">
        <v>34</v>
      </c>
      <c r="K436" s="2" t="s">
        <v>42</v>
      </c>
      <c r="L436" s="2">
        <v>119.0</v>
      </c>
      <c r="N436" s="11">
        <v>888658.0</v>
      </c>
      <c r="O436" s="4">
        <v>45323.0</v>
      </c>
      <c r="P436" s="2" t="b">
        <v>0</v>
      </c>
    </row>
    <row r="437">
      <c r="A437" s="2" t="s">
        <v>539</v>
      </c>
      <c r="B437" s="2" t="s">
        <v>183</v>
      </c>
      <c r="C437" s="2" t="s">
        <v>57</v>
      </c>
      <c r="D437" s="2" t="s">
        <v>102</v>
      </c>
      <c r="E437" s="2">
        <v>112.0</v>
      </c>
      <c r="F437" s="3">
        <v>45337.0</v>
      </c>
      <c r="G437" s="2" t="s">
        <v>414</v>
      </c>
      <c r="H437" s="11">
        <v>4.9083334E7</v>
      </c>
      <c r="I437" s="2" t="s">
        <v>414</v>
      </c>
      <c r="J437" s="2" t="s">
        <v>34</v>
      </c>
      <c r="K437" s="2" t="s">
        <v>21</v>
      </c>
      <c r="L437" s="2">
        <v>46.0</v>
      </c>
      <c r="N437" s="11">
        <v>438244.0</v>
      </c>
      <c r="O437" s="4">
        <v>45323.0</v>
      </c>
      <c r="P437" s="2" t="b">
        <v>0</v>
      </c>
    </row>
    <row r="438">
      <c r="A438" s="2" t="s">
        <v>540</v>
      </c>
      <c r="B438" s="2" t="s">
        <v>227</v>
      </c>
      <c r="C438" s="2" t="s">
        <v>24</v>
      </c>
      <c r="D438" s="2" t="s">
        <v>19</v>
      </c>
      <c r="E438" s="2">
        <v>65.0</v>
      </c>
      <c r="F438" s="3">
        <v>45409.0</v>
      </c>
      <c r="G438" s="2" t="s">
        <v>414</v>
      </c>
      <c r="H438" s="11">
        <v>3.1791766E7</v>
      </c>
      <c r="I438" s="2" t="s">
        <v>414</v>
      </c>
      <c r="J438" s="2" t="s">
        <v>69</v>
      </c>
      <c r="K438" s="2" t="s">
        <v>30</v>
      </c>
      <c r="L438" s="2">
        <v>61.0</v>
      </c>
      <c r="N438" s="11">
        <v>489104.0</v>
      </c>
      <c r="O438" s="4">
        <v>45383.0</v>
      </c>
      <c r="P438" s="2" t="b">
        <v>0</v>
      </c>
    </row>
    <row r="439">
      <c r="A439" s="2" t="s">
        <v>541</v>
      </c>
      <c r="B439" s="2" t="s">
        <v>119</v>
      </c>
      <c r="C439" s="2" t="s">
        <v>24</v>
      </c>
      <c r="D439" s="2" t="s">
        <v>29</v>
      </c>
      <c r="E439" s="2">
        <v>709.0</v>
      </c>
      <c r="F439" s="3">
        <v>45555.0</v>
      </c>
      <c r="G439" s="3">
        <v>45643.0</v>
      </c>
      <c r="H439" s="11">
        <v>2.35304963E8</v>
      </c>
      <c r="I439" s="2">
        <v>2.38974687E8</v>
      </c>
      <c r="J439" s="2" t="s">
        <v>20</v>
      </c>
      <c r="K439" s="2" t="s">
        <v>42</v>
      </c>
      <c r="L439" s="2">
        <v>168.0</v>
      </c>
      <c r="M439" s="2">
        <v>88.0</v>
      </c>
      <c r="N439" s="11">
        <v>331883.0</v>
      </c>
      <c r="O439" s="4">
        <v>45536.0</v>
      </c>
      <c r="P439" s="2" t="b">
        <v>1</v>
      </c>
    </row>
    <row r="440">
      <c r="A440" s="2" t="s">
        <v>542</v>
      </c>
      <c r="B440" s="2" t="s">
        <v>201</v>
      </c>
      <c r="C440" s="2" t="s">
        <v>64</v>
      </c>
      <c r="D440" s="2" t="s">
        <v>19</v>
      </c>
      <c r="E440" s="2">
        <v>46.0</v>
      </c>
      <c r="F440" s="3">
        <v>45126.0</v>
      </c>
      <c r="G440" s="3">
        <v>45294.0</v>
      </c>
      <c r="H440" s="11">
        <v>1.8548985E7</v>
      </c>
      <c r="I440" s="2">
        <v>1.9137951E7</v>
      </c>
      <c r="J440" s="2" t="s">
        <v>20</v>
      </c>
      <c r="K440" s="2" t="s">
        <v>25</v>
      </c>
      <c r="L440" s="2">
        <v>48.0</v>
      </c>
      <c r="M440" s="2">
        <v>168.0</v>
      </c>
      <c r="N440" s="11">
        <v>403239.0</v>
      </c>
      <c r="O440" s="4">
        <v>45108.0</v>
      </c>
      <c r="P440" s="2" t="b">
        <v>1</v>
      </c>
    </row>
    <row r="441">
      <c r="A441" s="2" t="s">
        <v>543</v>
      </c>
      <c r="B441" s="2" t="s">
        <v>27</v>
      </c>
      <c r="C441" s="2" t="s">
        <v>18</v>
      </c>
      <c r="D441" s="2" t="s">
        <v>67</v>
      </c>
      <c r="E441" s="2">
        <v>32.0</v>
      </c>
      <c r="F441" s="3">
        <v>45015.0</v>
      </c>
      <c r="G441" s="2" t="s">
        <v>414</v>
      </c>
      <c r="H441" s="11">
        <v>6217126.0</v>
      </c>
      <c r="I441" s="2" t="s">
        <v>414</v>
      </c>
      <c r="J441" s="2" t="s">
        <v>69</v>
      </c>
      <c r="K441" s="2" t="s">
        <v>73</v>
      </c>
      <c r="L441" s="2">
        <v>108.0</v>
      </c>
      <c r="N441" s="11">
        <v>194285.0</v>
      </c>
      <c r="O441" s="4">
        <v>44986.0</v>
      </c>
      <c r="P441" s="2" t="b">
        <v>0</v>
      </c>
    </row>
    <row r="442">
      <c r="A442" s="2" t="s">
        <v>544</v>
      </c>
      <c r="B442" s="2" t="s">
        <v>211</v>
      </c>
      <c r="C442" s="2" t="s">
        <v>64</v>
      </c>
      <c r="D442" s="2" t="s">
        <v>58</v>
      </c>
      <c r="E442" s="2">
        <v>53.0</v>
      </c>
      <c r="F442" s="3">
        <v>45489.0</v>
      </c>
      <c r="G442" s="3">
        <v>45647.0</v>
      </c>
      <c r="H442" s="11">
        <v>3.1901854E7</v>
      </c>
      <c r="I442" s="2">
        <v>3.1126487E7</v>
      </c>
      <c r="J442" s="2" t="s">
        <v>20</v>
      </c>
      <c r="K442" s="2" t="s">
        <v>30</v>
      </c>
      <c r="L442" s="2">
        <v>62.0</v>
      </c>
      <c r="M442" s="2">
        <v>158.0</v>
      </c>
      <c r="N442" s="11">
        <v>601922.0</v>
      </c>
      <c r="O442" s="4">
        <v>45474.0</v>
      </c>
      <c r="P442" s="2" t="b">
        <v>1</v>
      </c>
    </row>
    <row r="443">
      <c r="A443" s="2" t="s">
        <v>545</v>
      </c>
      <c r="B443" s="2" t="s">
        <v>52</v>
      </c>
      <c r="C443" s="2" t="s">
        <v>64</v>
      </c>
      <c r="D443" s="2" t="s">
        <v>72</v>
      </c>
      <c r="E443" s="2">
        <v>296.0</v>
      </c>
      <c r="F443" s="3">
        <v>44931.0</v>
      </c>
      <c r="G443" s="3">
        <v>45050.0</v>
      </c>
      <c r="H443" s="11">
        <v>2.52346258E8</v>
      </c>
      <c r="I443" s="2">
        <v>2.54713496E8</v>
      </c>
      <c r="J443" s="2" t="s">
        <v>20</v>
      </c>
      <c r="K443" s="2" t="s">
        <v>25</v>
      </c>
      <c r="L443" s="2">
        <v>80.0</v>
      </c>
      <c r="M443" s="2">
        <v>119.0</v>
      </c>
      <c r="N443" s="11">
        <v>852521.0</v>
      </c>
      <c r="O443" s="4">
        <v>44927.0</v>
      </c>
      <c r="P443" s="2" t="b">
        <v>1</v>
      </c>
    </row>
    <row r="444">
      <c r="A444" s="2" t="s">
        <v>546</v>
      </c>
      <c r="B444" s="2" t="s">
        <v>63</v>
      </c>
      <c r="C444" s="2" t="s">
        <v>24</v>
      </c>
      <c r="D444" s="2" t="s">
        <v>33</v>
      </c>
      <c r="E444" s="2">
        <v>97.0</v>
      </c>
      <c r="F444" s="3">
        <v>45759.0</v>
      </c>
      <c r="G444" s="2" t="s">
        <v>414</v>
      </c>
      <c r="H444" s="11">
        <v>7.1100018E7</v>
      </c>
      <c r="I444" s="2" t="s">
        <v>414</v>
      </c>
      <c r="J444" s="2" t="s">
        <v>69</v>
      </c>
      <c r="K444" s="2" t="s">
        <v>73</v>
      </c>
      <c r="L444" s="2">
        <v>149.0</v>
      </c>
      <c r="N444" s="11">
        <v>732990.0</v>
      </c>
      <c r="O444" s="4">
        <v>45748.0</v>
      </c>
      <c r="P444" s="2" t="b">
        <v>0</v>
      </c>
    </row>
    <row r="445">
      <c r="A445" s="2" t="s">
        <v>547</v>
      </c>
      <c r="B445" s="2" t="s">
        <v>349</v>
      </c>
      <c r="C445" s="2" t="s">
        <v>64</v>
      </c>
      <c r="D445" s="2" t="s">
        <v>72</v>
      </c>
      <c r="E445" s="2">
        <v>266.0</v>
      </c>
      <c r="F445" s="3">
        <v>45398.0</v>
      </c>
      <c r="G445" s="2" t="s">
        <v>414</v>
      </c>
      <c r="H445" s="11">
        <v>2.24679116E8</v>
      </c>
      <c r="I445" s="2" t="s">
        <v>414</v>
      </c>
      <c r="J445" s="2" t="s">
        <v>41</v>
      </c>
      <c r="K445" s="2" t="s">
        <v>30</v>
      </c>
      <c r="L445" s="2">
        <v>22.0</v>
      </c>
      <c r="N445" s="11">
        <v>844658.0</v>
      </c>
      <c r="O445" s="4">
        <v>45383.0</v>
      </c>
      <c r="P445" s="2" t="b">
        <v>0</v>
      </c>
    </row>
    <row r="446">
      <c r="A446" s="2" t="s">
        <v>548</v>
      </c>
      <c r="B446" s="2" t="s">
        <v>123</v>
      </c>
      <c r="C446" s="2" t="s">
        <v>24</v>
      </c>
      <c r="D446" s="2" t="s">
        <v>72</v>
      </c>
      <c r="E446" s="2">
        <v>238.0</v>
      </c>
      <c r="F446" s="3">
        <v>45905.0</v>
      </c>
      <c r="G446" s="2" t="s">
        <v>414</v>
      </c>
      <c r="H446" s="11">
        <v>2.37774007E8</v>
      </c>
      <c r="I446" s="2">
        <v>2.50411297E8</v>
      </c>
      <c r="J446" s="2" t="s">
        <v>20</v>
      </c>
      <c r="K446" s="2" t="s">
        <v>42</v>
      </c>
      <c r="L446" s="2">
        <v>78.0</v>
      </c>
      <c r="M446" s="2">
        <v>152.0</v>
      </c>
      <c r="N446" s="11">
        <v>999050.0</v>
      </c>
      <c r="O446" s="4">
        <v>45901.0</v>
      </c>
      <c r="P446" s="2" t="b">
        <v>1</v>
      </c>
    </row>
    <row r="447">
      <c r="A447" s="2" t="s">
        <v>549</v>
      </c>
      <c r="B447" s="2" t="s">
        <v>84</v>
      </c>
      <c r="C447" s="2" t="s">
        <v>28</v>
      </c>
      <c r="D447" s="2" t="s">
        <v>67</v>
      </c>
      <c r="E447" s="2">
        <v>27.0</v>
      </c>
      <c r="F447" s="3">
        <v>45414.0</v>
      </c>
      <c r="G447" s="3">
        <v>45484.0</v>
      </c>
      <c r="H447" s="11">
        <v>1.9402126E7</v>
      </c>
      <c r="I447" s="2">
        <v>1.8685258E7</v>
      </c>
      <c r="J447" s="2" t="s">
        <v>20</v>
      </c>
      <c r="K447" s="2" t="s">
        <v>42</v>
      </c>
      <c r="L447" s="2">
        <v>132.0</v>
      </c>
      <c r="M447" s="2">
        <v>70.0</v>
      </c>
      <c r="N447" s="11">
        <v>718597.0</v>
      </c>
      <c r="O447" s="4">
        <v>45413.0</v>
      </c>
      <c r="P447" s="2" t="b">
        <v>1</v>
      </c>
    </row>
    <row r="448">
      <c r="A448" s="2" t="s">
        <v>550</v>
      </c>
      <c r="B448" s="2" t="s">
        <v>17</v>
      </c>
      <c r="C448" s="2" t="s">
        <v>57</v>
      </c>
      <c r="D448" s="2" t="s">
        <v>72</v>
      </c>
      <c r="E448" s="2">
        <v>241.0</v>
      </c>
      <c r="F448" s="3">
        <v>45161.0</v>
      </c>
      <c r="G448" s="3">
        <v>45239.0</v>
      </c>
      <c r="H448" s="11">
        <v>1.64432255E8</v>
      </c>
      <c r="I448" s="2">
        <v>1.60644456E8</v>
      </c>
      <c r="J448" s="2" t="s">
        <v>20</v>
      </c>
      <c r="K448" s="2" t="s">
        <v>21</v>
      </c>
      <c r="L448" s="2">
        <v>35.0</v>
      </c>
      <c r="M448" s="2">
        <v>78.0</v>
      </c>
      <c r="N448" s="11">
        <v>682292.0</v>
      </c>
      <c r="O448" s="4">
        <v>45139.0</v>
      </c>
      <c r="P448" s="2" t="b">
        <v>1</v>
      </c>
    </row>
    <row r="449">
      <c r="A449" s="2" t="s">
        <v>551</v>
      </c>
      <c r="B449" s="2" t="s">
        <v>60</v>
      </c>
      <c r="C449" s="2" t="s">
        <v>93</v>
      </c>
      <c r="D449" s="2" t="s">
        <v>81</v>
      </c>
      <c r="E449" s="2">
        <v>454.0</v>
      </c>
      <c r="F449" s="3">
        <v>45795.0</v>
      </c>
      <c r="G449" s="3">
        <v>45968.0</v>
      </c>
      <c r="H449" s="11">
        <v>7.9772347E7</v>
      </c>
      <c r="I449" s="2">
        <v>8.4853797E7</v>
      </c>
      <c r="J449" s="2" t="s">
        <v>20</v>
      </c>
      <c r="K449" s="2" t="s">
        <v>25</v>
      </c>
      <c r="L449" s="2">
        <v>75.0</v>
      </c>
      <c r="M449" s="2">
        <v>173.0</v>
      </c>
      <c r="N449" s="11">
        <v>175710.0</v>
      </c>
      <c r="O449" s="4">
        <v>45778.0</v>
      </c>
      <c r="P449" s="2" t="b">
        <v>1</v>
      </c>
    </row>
    <row r="450">
      <c r="A450" s="2" t="s">
        <v>552</v>
      </c>
      <c r="B450" s="2" t="s">
        <v>323</v>
      </c>
      <c r="C450" s="2" t="s">
        <v>64</v>
      </c>
      <c r="D450" s="2" t="s">
        <v>58</v>
      </c>
      <c r="E450" s="2">
        <v>121.0</v>
      </c>
      <c r="F450" s="3">
        <v>45695.0</v>
      </c>
      <c r="G450" s="3">
        <v>45723.0</v>
      </c>
      <c r="H450" s="11">
        <v>6.3506319E7</v>
      </c>
      <c r="I450" s="2">
        <v>6.2725708E7</v>
      </c>
      <c r="J450" s="2" t="s">
        <v>20</v>
      </c>
      <c r="K450" s="2" t="s">
        <v>25</v>
      </c>
      <c r="L450" s="2">
        <v>13.0</v>
      </c>
      <c r="M450" s="2">
        <v>28.0</v>
      </c>
      <c r="N450" s="11">
        <v>524846.0</v>
      </c>
      <c r="O450" s="4">
        <v>45689.0</v>
      </c>
      <c r="P450" s="2" t="b">
        <v>1</v>
      </c>
    </row>
    <row r="451">
      <c r="A451" s="2" t="s">
        <v>553</v>
      </c>
      <c r="B451" s="2" t="s">
        <v>284</v>
      </c>
      <c r="C451" s="2" t="s">
        <v>64</v>
      </c>
      <c r="D451" s="2" t="s">
        <v>49</v>
      </c>
      <c r="E451" s="2">
        <v>270.0</v>
      </c>
      <c r="F451" s="3">
        <v>45926.0</v>
      </c>
      <c r="G451" s="2" t="s">
        <v>414</v>
      </c>
      <c r="H451" s="11">
        <v>1.75888202E8</v>
      </c>
      <c r="I451" s="2">
        <v>1.81212986E8</v>
      </c>
      <c r="J451" s="2" t="s">
        <v>20</v>
      </c>
      <c r="K451" s="2" t="s">
        <v>21</v>
      </c>
      <c r="L451" s="2">
        <v>177.0</v>
      </c>
      <c r="M451" s="2">
        <v>147.0</v>
      </c>
      <c r="N451" s="11">
        <v>651438.0</v>
      </c>
      <c r="O451" s="4">
        <v>45901.0</v>
      </c>
      <c r="P451" s="2" t="b">
        <v>1</v>
      </c>
    </row>
    <row r="452">
      <c r="A452" s="2" t="s">
        <v>554</v>
      </c>
      <c r="B452" s="2" t="s">
        <v>106</v>
      </c>
      <c r="C452" s="2" t="s">
        <v>28</v>
      </c>
      <c r="D452" s="2" t="s">
        <v>29</v>
      </c>
      <c r="E452" s="2">
        <v>1225.0</v>
      </c>
      <c r="F452" s="3">
        <v>45554.0</v>
      </c>
      <c r="G452" s="2" t="s">
        <v>414</v>
      </c>
      <c r="H452" s="11">
        <v>5.0109262E8</v>
      </c>
      <c r="I452" s="2" t="s">
        <v>414</v>
      </c>
      <c r="J452" s="2" t="s">
        <v>41</v>
      </c>
      <c r="K452" s="2" t="s">
        <v>42</v>
      </c>
      <c r="L452" s="2">
        <v>73.0</v>
      </c>
      <c r="N452" s="11">
        <v>409055.0</v>
      </c>
      <c r="O452" s="4">
        <v>45536.0</v>
      </c>
      <c r="P452" s="2" t="b">
        <v>0</v>
      </c>
    </row>
    <row r="453">
      <c r="A453" s="2" t="s">
        <v>555</v>
      </c>
      <c r="B453" s="2" t="s">
        <v>88</v>
      </c>
      <c r="C453" s="2" t="s">
        <v>64</v>
      </c>
      <c r="D453" s="2" t="s">
        <v>29</v>
      </c>
      <c r="E453" s="2">
        <v>3210.0</v>
      </c>
      <c r="F453" s="3">
        <v>45437.0</v>
      </c>
      <c r="G453" s="3">
        <v>45559.0</v>
      </c>
      <c r="H453" s="11">
        <v>7.3471354E8</v>
      </c>
      <c r="I453" s="2">
        <v>7.19703004E8</v>
      </c>
      <c r="J453" s="2" t="s">
        <v>20</v>
      </c>
      <c r="K453" s="2" t="s">
        <v>73</v>
      </c>
      <c r="L453" s="2">
        <v>76.0</v>
      </c>
      <c r="M453" s="2">
        <v>122.0</v>
      </c>
      <c r="N453" s="11">
        <v>228883.0</v>
      </c>
      <c r="O453" s="4">
        <v>45413.0</v>
      </c>
      <c r="P453" s="2" t="b">
        <v>1</v>
      </c>
    </row>
    <row r="454">
      <c r="A454" s="2" t="s">
        <v>556</v>
      </c>
      <c r="B454" s="2" t="s">
        <v>137</v>
      </c>
      <c r="C454" s="2" t="s">
        <v>64</v>
      </c>
      <c r="D454" s="2" t="s">
        <v>29</v>
      </c>
      <c r="E454" s="2">
        <v>1474.0</v>
      </c>
      <c r="F454" s="3">
        <v>45161.0</v>
      </c>
      <c r="G454" s="2" t="s">
        <v>414</v>
      </c>
      <c r="H454" s="11">
        <v>2.85942553E8</v>
      </c>
      <c r="I454" s="2" t="s">
        <v>414</v>
      </c>
      <c r="J454" s="2" t="s">
        <v>34</v>
      </c>
      <c r="K454" s="2" t="s">
        <v>42</v>
      </c>
      <c r="L454" s="2">
        <v>147.0</v>
      </c>
      <c r="N454" s="11">
        <v>193991.0</v>
      </c>
      <c r="O454" s="4">
        <v>45139.0</v>
      </c>
      <c r="P454" s="2" t="b">
        <v>0</v>
      </c>
    </row>
    <row r="455">
      <c r="A455" s="2" t="s">
        <v>557</v>
      </c>
      <c r="B455" s="2" t="s">
        <v>71</v>
      </c>
      <c r="C455" s="2" t="s">
        <v>24</v>
      </c>
      <c r="D455" s="2" t="s">
        <v>49</v>
      </c>
      <c r="E455" s="2">
        <v>100.0</v>
      </c>
      <c r="F455" s="3">
        <v>45080.0</v>
      </c>
      <c r="G455" s="3">
        <v>45097.0</v>
      </c>
      <c r="H455" s="11">
        <v>8.3778504E7</v>
      </c>
      <c r="I455" s="2">
        <v>8.3773113E7</v>
      </c>
      <c r="J455" s="2" t="s">
        <v>20</v>
      </c>
      <c r="K455" s="2" t="s">
        <v>25</v>
      </c>
      <c r="L455" s="2">
        <v>141.0</v>
      </c>
      <c r="M455" s="2">
        <v>17.0</v>
      </c>
      <c r="N455" s="11">
        <v>837785.0</v>
      </c>
      <c r="O455" s="4">
        <v>45078.0</v>
      </c>
      <c r="P455" s="2" t="b">
        <v>1</v>
      </c>
    </row>
    <row r="456">
      <c r="A456" s="2" t="s">
        <v>558</v>
      </c>
      <c r="B456" s="2" t="s">
        <v>63</v>
      </c>
      <c r="C456" s="2" t="s">
        <v>18</v>
      </c>
      <c r="D456" s="2" t="s">
        <v>81</v>
      </c>
      <c r="E456" s="2">
        <v>2857.0</v>
      </c>
      <c r="F456" s="3">
        <v>45806.0</v>
      </c>
      <c r="G456" s="3">
        <v>45922.0</v>
      </c>
      <c r="H456" s="11">
        <v>4.26981811E8</v>
      </c>
      <c r="I456" s="2">
        <v>4.03982308E8</v>
      </c>
      <c r="J456" s="2" t="s">
        <v>20</v>
      </c>
      <c r="K456" s="2" t="s">
        <v>42</v>
      </c>
      <c r="L456" s="2">
        <v>70.0</v>
      </c>
      <c r="M456" s="2">
        <v>116.0</v>
      </c>
      <c r="N456" s="11">
        <v>149451.0</v>
      </c>
      <c r="O456" s="4">
        <v>45778.0</v>
      </c>
      <c r="P456" s="2" t="b">
        <v>1</v>
      </c>
    </row>
    <row r="457">
      <c r="A457" s="2" t="s">
        <v>559</v>
      </c>
      <c r="B457" s="2" t="s">
        <v>106</v>
      </c>
      <c r="C457" s="2" t="s">
        <v>64</v>
      </c>
      <c r="D457" s="2" t="s">
        <v>33</v>
      </c>
      <c r="E457" s="2">
        <v>93.0</v>
      </c>
      <c r="F457" s="3">
        <v>45296.0</v>
      </c>
      <c r="G457" s="3">
        <v>45453.0</v>
      </c>
      <c r="H457" s="11">
        <v>5.1171578E7</v>
      </c>
      <c r="I457" s="2">
        <v>4.9187879E7</v>
      </c>
      <c r="J457" s="2" t="s">
        <v>20</v>
      </c>
      <c r="K457" s="2" t="s">
        <v>21</v>
      </c>
      <c r="L457" s="2">
        <v>110.0</v>
      </c>
      <c r="M457" s="2">
        <v>157.0</v>
      </c>
      <c r="N457" s="11">
        <v>550232.0</v>
      </c>
      <c r="O457" s="4">
        <v>45292.0</v>
      </c>
      <c r="P457" s="2" t="b">
        <v>1</v>
      </c>
    </row>
    <row r="458">
      <c r="A458" s="2" t="s">
        <v>560</v>
      </c>
      <c r="B458" s="2" t="s">
        <v>109</v>
      </c>
      <c r="C458" s="2" t="s">
        <v>28</v>
      </c>
      <c r="D458" s="2" t="s">
        <v>29</v>
      </c>
      <c r="E458" s="2">
        <v>2029.0</v>
      </c>
      <c r="F458" s="3">
        <v>45592.0</v>
      </c>
      <c r="G458" s="3">
        <v>45651.0</v>
      </c>
      <c r="H458" s="11">
        <v>9.63712282E8</v>
      </c>
      <c r="I458" s="2">
        <v>9.30500248E8</v>
      </c>
      <c r="J458" s="2" t="s">
        <v>20</v>
      </c>
      <c r="K458" s="2" t="s">
        <v>30</v>
      </c>
      <c r="L458" s="2">
        <v>177.0</v>
      </c>
      <c r="M458" s="2">
        <v>59.0</v>
      </c>
      <c r="N458" s="11">
        <v>474969.0</v>
      </c>
      <c r="O458" s="6">
        <v>45566.0</v>
      </c>
      <c r="P458" s="2" t="b">
        <v>1</v>
      </c>
    </row>
    <row r="459">
      <c r="A459" s="2" t="s">
        <v>561</v>
      </c>
      <c r="B459" s="2" t="s">
        <v>52</v>
      </c>
      <c r="C459" s="2" t="s">
        <v>64</v>
      </c>
      <c r="D459" s="2" t="s">
        <v>81</v>
      </c>
      <c r="E459" s="2">
        <v>1042.0</v>
      </c>
      <c r="F459" s="3">
        <v>45220.0</v>
      </c>
      <c r="G459" s="3">
        <v>45272.0</v>
      </c>
      <c r="H459" s="11">
        <v>3.36849242E8</v>
      </c>
      <c r="I459" s="2">
        <v>3.44425959E8</v>
      </c>
      <c r="J459" s="2" t="s">
        <v>20</v>
      </c>
      <c r="K459" s="2" t="s">
        <v>30</v>
      </c>
      <c r="L459" s="2">
        <v>112.0</v>
      </c>
      <c r="M459" s="2">
        <v>52.0</v>
      </c>
      <c r="N459" s="11">
        <v>323272.0</v>
      </c>
      <c r="O459" s="6">
        <v>45200.0</v>
      </c>
      <c r="P459" s="2" t="b">
        <v>1</v>
      </c>
    </row>
    <row r="460">
      <c r="A460" s="2" t="s">
        <v>562</v>
      </c>
      <c r="B460" s="2" t="s">
        <v>211</v>
      </c>
      <c r="C460" s="2" t="s">
        <v>18</v>
      </c>
      <c r="D460" s="2" t="s">
        <v>29</v>
      </c>
      <c r="E460" s="2">
        <v>3715.0</v>
      </c>
      <c r="F460" s="3">
        <v>45092.0</v>
      </c>
      <c r="G460" s="3">
        <v>45187.0</v>
      </c>
      <c r="H460" s="11">
        <v>4.57207514E8</v>
      </c>
      <c r="I460" s="2">
        <v>4.41944563E8</v>
      </c>
      <c r="J460" s="2" t="s">
        <v>20</v>
      </c>
      <c r="K460" s="2" t="s">
        <v>30</v>
      </c>
      <c r="L460" s="2">
        <v>159.0</v>
      </c>
      <c r="M460" s="2">
        <v>95.0</v>
      </c>
      <c r="N460" s="11">
        <v>123071.0</v>
      </c>
      <c r="O460" s="4">
        <v>45078.0</v>
      </c>
      <c r="P460" s="2" t="b">
        <v>1</v>
      </c>
    </row>
    <row r="461">
      <c r="A461" s="2" t="s">
        <v>563</v>
      </c>
      <c r="B461" s="2" t="s">
        <v>142</v>
      </c>
      <c r="C461" s="2" t="s">
        <v>18</v>
      </c>
      <c r="D461" s="2" t="s">
        <v>37</v>
      </c>
      <c r="E461" s="2">
        <v>527.0</v>
      </c>
      <c r="F461" s="3">
        <v>45528.0</v>
      </c>
      <c r="G461" s="3">
        <v>45658.0</v>
      </c>
      <c r="H461" s="11">
        <v>3.29694838E8</v>
      </c>
      <c r="I461" s="2">
        <v>3.13019463E8</v>
      </c>
      <c r="J461" s="2" t="s">
        <v>20</v>
      </c>
      <c r="K461" s="2" t="s">
        <v>21</v>
      </c>
      <c r="L461" s="2">
        <v>37.0</v>
      </c>
      <c r="M461" s="2">
        <v>130.0</v>
      </c>
      <c r="N461" s="11">
        <v>625607.0</v>
      </c>
      <c r="O461" s="4">
        <v>45505.0</v>
      </c>
      <c r="P461" s="2" t="b">
        <v>1</v>
      </c>
    </row>
    <row r="462">
      <c r="A462" s="2" t="s">
        <v>564</v>
      </c>
      <c r="B462" s="2" t="s">
        <v>23</v>
      </c>
      <c r="C462" s="2" t="s">
        <v>18</v>
      </c>
      <c r="D462" s="2" t="s">
        <v>37</v>
      </c>
      <c r="E462" s="2">
        <v>340.0</v>
      </c>
      <c r="F462" s="3">
        <v>45333.0</v>
      </c>
      <c r="G462" s="3">
        <v>45364.0</v>
      </c>
      <c r="H462" s="11">
        <v>2.56504825E8</v>
      </c>
      <c r="I462" s="2">
        <v>2.55404349E8</v>
      </c>
      <c r="J462" s="2" t="s">
        <v>20</v>
      </c>
      <c r="K462" s="2" t="s">
        <v>21</v>
      </c>
      <c r="L462" s="2">
        <v>11.0</v>
      </c>
      <c r="M462" s="2">
        <v>31.0</v>
      </c>
      <c r="N462" s="11">
        <v>754426.0</v>
      </c>
      <c r="O462" s="4">
        <v>45323.0</v>
      </c>
      <c r="P462" s="2" t="b">
        <v>1</v>
      </c>
    </row>
    <row r="463">
      <c r="A463" s="2" t="s">
        <v>565</v>
      </c>
      <c r="B463" s="2" t="s">
        <v>211</v>
      </c>
      <c r="C463" s="2" t="s">
        <v>57</v>
      </c>
      <c r="D463" s="2" t="s">
        <v>58</v>
      </c>
      <c r="E463" s="2">
        <v>245.0</v>
      </c>
      <c r="F463" s="3">
        <v>45195.0</v>
      </c>
      <c r="G463" s="3">
        <v>45231.0</v>
      </c>
      <c r="H463" s="11">
        <v>9.5893107E7</v>
      </c>
      <c r="I463" s="2">
        <v>1.01807353E8</v>
      </c>
      <c r="J463" s="2" t="s">
        <v>20</v>
      </c>
      <c r="K463" s="2" t="s">
        <v>30</v>
      </c>
      <c r="L463" s="2">
        <v>63.0</v>
      </c>
      <c r="M463" s="2">
        <v>36.0</v>
      </c>
      <c r="N463" s="11">
        <v>391400.0</v>
      </c>
      <c r="O463" s="4">
        <v>45170.0</v>
      </c>
      <c r="P463" s="2" t="b">
        <v>1</v>
      </c>
    </row>
    <row r="464">
      <c r="A464" s="2" t="s">
        <v>566</v>
      </c>
      <c r="B464" s="2" t="s">
        <v>265</v>
      </c>
      <c r="C464" s="2" t="s">
        <v>28</v>
      </c>
      <c r="D464" s="2" t="s">
        <v>37</v>
      </c>
      <c r="E464" s="2">
        <v>526.0</v>
      </c>
      <c r="F464" s="3">
        <v>45466.0</v>
      </c>
      <c r="G464" s="2" t="s">
        <v>414</v>
      </c>
      <c r="H464" s="11">
        <v>8.49908656E8</v>
      </c>
      <c r="I464" s="2" t="s">
        <v>414</v>
      </c>
      <c r="J464" s="2" t="s">
        <v>41</v>
      </c>
      <c r="K464" s="2" t="s">
        <v>30</v>
      </c>
      <c r="L464" s="2">
        <v>88.0</v>
      </c>
      <c r="N464" s="11">
        <v>1615796.0</v>
      </c>
      <c r="O464" s="4">
        <v>45444.0</v>
      </c>
      <c r="P464" s="2" t="b">
        <v>0</v>
      </c>
    </row>
    <row r="465">
      <c r="A465" s="2" t="s">
        <v>567</v>
      </c>
      <c r="B465" s="2" t="s">
        <v>63</v>
      </c>
      <c r="C465" s="2" t="s">
        <v>40</v>
      </c>
      <c r="D465" s="2" t="s">
        <v>81</v>
      </c>
      <c r="E465" s="2">
        <v>4828.0</v>
      </c>
      <c r="F465" s="3">
        <v>45382.0</v>
      </c>
      <c r="G465" s="3">
        <v>45575.0</v>
      </c>
      <c r="H465" s="11">
        <v>7.71790822E8</v>
      </c>
      <c r="I465" s="2">
        <v>7.83007218E8</v>
      </c>
      <c r="J465" s="2" t="s">
        <v>20</v>
      </c>
      <c r="K465" s="2" t="s">
        <v>73</v>
      </c>
      <c r="L465" s="2">
        <v>166.0</v>
      </c>
      <c r="M465" s="2">
        <v>193.0</v>
      </c>
      <c r="N465" s="11">
        <v>159857.0</v>
      </c>
      <c r="O465" s="4">
        <v>45352.0</v>
      </c>
      <c r="P465" s="2" t="b">
        <v>1</v>
      </c>
    </row>
    <row r="466">
      <c r="A466" s="2" t="s">
        <v>568</v>
      </c>
      <c r="B466" s="2" t="s">
        <v>165</v>
      </c>
      <c r="C466" s="2" t="s">
        <v>57</v>
      </c>
      <c r="D466" s="2" t="s">
        <v>29</v>
      </c>
      <c r="E466" s="2">
        <v>3963.0</v>
      </c>
      <c r="F466" s="3">
        <v>45581.0</v>
      </c>
      <c r="G466" s="3">
        <v>45684.0</v>
      </c>
      <c r="H466" s="11">
        <v>5.95017251E8</v>
      </c>
      <c r="I466" s="2">
        <v>5.69039125E8</v>
      </c>
      <c r="J466" s="2" t="s">
        <v>20</v>
      </c>
      <c r="K466" s="2" t="s">
        <v>21</v>
      </c>
      <c r="L466" s="2">
        <v>118.0</v>
      </c>
      <c r="M466" s="2">
        <v>103.0</v>
      </c>
      <c r="N466" s="11">
        <v>150143.0</v>
      </c>
      <c r="O466" s="6">
        <v>45566.0</v>
      </c>
      <c r="P466" s="2" t="b">
        <v>1</v>
      </c>
    </row>
    <row r="467">
      <c r="A467" s="2" t="s">
        <v>569</v>
      </c>
      <c r="B467" s="2" t="s">
        <v>160</v>
      </c>
      <c r="C467" s="2" t="s">
        <v>24</v>
      </c>
      <c r="D467" s="2" t="s">
        <v>49</v>
      </c>
      <c r="E467" s="2">
        <v>116.0</v>
      </c>
      <c r="F467" s="3">
        <v>44937.0</v>
      </c>
      <c r="G467" s="3">
        <v>45146.0</v>
      </c>
      <c r="H467" s="11">
        <v>1.25529692E8</v>
      </c>
      <c r="I467" s="2">
        <v>1.22394159E8</v>
      </c>
      <c r="J467" s="2" t="s">
        <v>20</v>
      </c>
      <c r="K467" s="2" t="s">
        <v>73</v>
      </c>
      <c r="L467" s="2">
        <v>141.0</v>
      </c>
      <c r="M467" s="2">
        <v>209.0</v>
      </c>
      <c r="N467" s="11">
        <v>1082153.0</v>
      </c>
      <c r="O467" s="4">
        <v>44927.0</v>
      </c>
      <c r="P467" s="2" t="b">
        <v>1</v>
      </c>
    </row>
    <row r="468">
      <c r="A468" s="2" t="s">
        <v>570</v>
      </c>
      <c r="B468" s="2" t="s">
        <v>92</v>
      </c>
      <c r="C468" s="2" t="s">
        <v>28</v>
      </c>
      <c r="D468" s="2" t="s">
        <v>81</v>
      </c>
      <c r="E468" s="2">
        <v>4308.0</v>
      </c>
      <c r="F468" s="3">
        <v>45711.0</v>
      </c>
      <c r="G468" s="3">
        <v>45800.0</v>
      </c>
      <c r="H468" s="11">
        <v>2.392184001E9</v>
      </c>
      <c r="I468" s="2">
        <v>2.505771551E9</v>
      </c>
      <c r="J468" s="2" t="s">
        <v>20</v>
      </c>
      <c r="K468" s="2" t="s">
        <v>25</v>
      </c>
      <c r="L468" s="2">
        <v>100.0</v>
      </c>
      <c r="M468" s="2">
        <v>89.0</v>
      </c>
      <c r="N468" s="11">
        <v>555289.0</v>
      </c>
      <c r="O468" s="4">
        <v>45689.0</v>
      </c>
      <c r="P468" s="2" t="b">
        <v>1</v>
      </c>
    </row>
    <row r="469">
      <c r="A469" s="2" t="s">
        <v>571</v>
      </c>
      <c r="B469" s="2" t="s">
        <v>323</v>
      </c>
      <c r="C469" s="2" t="s">
        <v>28</v>
      </c>
      <c r="D469" s="2" t="s">
        <v>58</v>
      </c>
      <c r="E469" s="2">
        <v>161.0</v>
      </c>
      <c r="F469" s="3">
        <v>45094.0</v>
      </c>
      <c r="G469" s="2" t="s">
        <v>414</v>
      </c>
      <c r="H469" s="11">
        <v>1.51421546E8</v>
      </c>
      <c r="I469" s="2" t="s">
        <v>414</v>
      </c>
      <c r="J469" s="2" t="s">
        <v>34</v>
      </c>
      <c r="K469" s="2" t="s">
        <v>73</v>
      </c>
      <c r="L469" s="2">
        <v>61.0</v>
      </c>
      <c r="N469" s="11">
        <v>940506.0</v>
      </c>
      <c r="O469" s="4">
        <v>45078.0</v>
      </c>
      <c r="P469" s="2" t="b">
        <v>0</v>
      </c>
    </row>
    <row r="470">
      <c r="A470" s="2" t="s">
        <v>572</v>
      </c>
      <c r="B470" s="2" t="s">
        <v>183</v>
      </c>
      <c r="C470" s="2" t="s">
        <v>24</v>
      </c>
      <c r="D470" s="2" t="s">
        <v>49</v>
      </c>
      <c r="E470" s="2">
        <v>210.0</v>
      </c>
      <c r="F470" s="3">
        <v>45709.0</v>
      </c>
      <c r="G470" s="2" t="s">
        <v>414</v>
      </c>
      <c r="H470" s="11">
        <v>2.24166028E8</v>
      </c>
      <c r="I470" s="2" t="s">
        <v>414</v>
      </c>
      <c r="J470" s="2" t="s">
        <v>34</v>
      </c>
      <c r="K470" s="2" t="s">
        <v>30</v>
      </c>
      <c r="L470" s="2">
        <v>77.0</v>
      </c>
      <c r="N470" s="11">
        <v>1067457.0</v>
      </c>
      <c r="O470" s="4">
        <v>45689.0</v>
      </c>
      <c r="P470" s="2" t="b">
        <v>0</v>
      </c>
    </row>
    <row r="471">
      <c r="A471" s="2" t="s">
        <v>573</v>
      </c>
      <c r="B471" s="2" t="s">
        <v>39</v>
      </c>
      <c r="C471" s="2" t="s">
        <v>18</v>
      </c>
      <c r="D471" s="2" t="s">
        <v>58</v>
      </c>
      <c r="E471" s="2">
        <v>257.0</v>
      </c>
      <c r="F471" s="3">
        <v>45119.0</v>
      </c>
      <c r="G471" s="2" t="s">
        <v>414</v>
      </c>
      <c r="H471" s="11">
        <v>7.1608444E7</v>
      </c>
      <c r="I471" s="2" t="s">
        <v>414</v>
      </c>
      <c r="J471" s="2" t="s">
        <v>41</v>
      </c>
      <c r="K471" s="2" t="s">
        <v>21</v>
      </c>
      <c r="L471" s="2">
        <v>168.0</v>
      </c>
      <c r="N471" s="11">
        <v>278632.0</v>
      </c>
      <c r="O471" s="4">
        <v>45108.0</v>
      </c>
      <c r="P471" s="2" t="b">
        <v>0</v>
      </c>
    </row>
    <row r="472">
      <c r="A472" s="2" t="s">
        <v>574</v>
      </c>
      <c r="B472" s="2" t="s">
        <v>208</v>
      </c>
      <c r="C472" s="2" t="s">
        <v>64</v>
      </c>
      <c r="D472" s="2" t="s">
        <v>81</v>
      </c>
      <c r="E472" s="2">
        <v>2629.0</v>
      </c>
      <c r="F472" s="3">
        <v>45119.0</v>
      </c>
      <c r="G472" s="3">
        <v>45172.0</v>
      </c>
      <c r="H472" s="11">
        <v>6.17447633E8</v>
      </c>
      <c r="I472" s="2">
        <v>6.2090245E8</v>
      </c>
      <c r="J472" s="2" t="s">
        <v>20</v>
      </c>
      <c r="K472" s="2" t="s">
        <v>42</v>
      </c>
      <c r="L472" s="2">
        <v>31.0</v>
      </c>
      <c r="M472" s="2">
        <v>53.0</v>
      </c>
      <c r="N472" s="11">
        <v>234860.0</v>
      </c>
      <c r="O472" s="4">
        <v>45108.0</v>
      </c>
      <c r="P472" s="2" t="b">
        <v>1</v>
      </c>
    </row>
    <row r="473">
      <c r="A473" s="2" t="s">
        <v>575</v>
      </c>
      <c r="B473" s="2" t="s">
        <v>27</v>
      </c>
      <c r="C473" s="2" t="s">
        <v>24</v>
      </c>
      <c r="D473" s="2" t="s">
        <v>102</v>
      </c>
      <c r="E473" s="2">
        <v>156.0</v>
      </c>
      <c r="F473" s="3">
        <v>45019.0</v>
      </c>
      <c r="G473" s="3">
        <v>45160.0</v>
      </c>
      <c r="H473" s="11">
        <v>1.18748935E8</v>
      </c>
      <c r="I473" s="2">
        <v>1.17233566E8</v>
      </c>
      <c r="J473" s="2" t="s">
        <v>20</v>
      </c>
      <c r="K473" s="2" t="s">
        <v>73</v>
      </c>
      <c r="L473" s="2">
        <v>100.0</v>
      </c>
      <c r="M473" s="2">
        <v>141.0</v>
      </c>
      <c r="N473" s="11">
        <v>761211.0</v>
      </c>
      <c r="O473" s="4">
        <v>45017.0</v>
      </c>
      <c r="P473" s="2" t="b">
        <v>1</v>
      </c>
    </row>
    <row r="474">
      <c r="A474" s="2" t="s">
        <v>576</v>
      </c>
      <c r="B474" s="2" t="s">
        <v>227</v>
      </c>
      <c r="C474" s="2" t="s">
        <v>64</v>
      </c>
      <c r="D474" s="2" t="s">
        <v>19</v>
      </c>
      <c r="E474" s="2">
        <v>50.0</v>
      </c>
      <c r="F474" s="3">
        <v>44984.0</v>
      </c>
      <c r="G474" s="3">
        <v>45099.0</v>
      </c>
      <c r="H474" s="11">
        <v>1.6802342E7</v>
      </c>
      <c r="I474" s="2">
        <v>1.6722085E7</v>
      </c>
      <c r="J474" s="2" t="s">
        <v>20</v>
      </c>
      <c r="K474" s="2" t="s">
        <v>42</v>
      </c>
      <c r="L474" s="2">
        <v>69.0</v>
      </c>
      <c r="M474" s="2">
        <v>115.0</v>
      </c>
      <c r="N474" s="11">
        <v>336047.0</v>
      </c>
      <c r="O474" s="4">
        <v>44958.0</v>
      </c>
      <c r="P474" s="2" t="b">
        <v>1</v>
      </c>
    </row>
    <row r="475">
      <c r="A475" s="2" t="s">
        <v>577</v>
      </c>
      <c r="B475" s="2" t="s">
        <v>132</v>
      </c>
      <c r="C475" s="2" t="s">
        <v>57</v>
      </c>
      <c r="D475" s="2" t="s">
        <v>19</v>
      </c>
      <c r="E475" s="2">
        <v>43.0</v>
      </c>
      <c r="F475" s="3">
        <v>45716.0</v>
      </c>
      <c r="G475" s="2" t="s">
        <v>414</v>
      </c>
      <c r="H475" s="11">
        <v>1.3392476E7</v>
      </c>
      <c r="I475" s="2" t="s">
        <v>414</v>
      </c>
      <c r="J475" s="2" t="s">
        <v>41</v>
      </c>
      <c r="K475" s="2" t="s">
        <v>21</v>
      </c>
      <c r="L475" s="2">
        <v>55.0</v>
      </c>
      <c r="N475" s="11">
        <v>311453.0</v>
      </c>
      <c r="O475" s="4">
        <v>45689.0</v>
      </c>
      <c r="P475" s="2" t="b">
        <v>0</v>
      </c>
    </row>
    <row r="476">
      <c r="A476" s="2" t="s">
        <v>578</v>
      </c>
      <c r="B476" s="2" t="s">
        <v>132</v>
      </c>
      <c r="C476" s="2" t="s">
        <v>64</v>
      </c>
      <c r="D476" s="2" t="s">
        <v>33</v>
      </c>
      <c r="E476" s="2">
        <v>98.0</v>
      </c>
      <c r="F476" s="3">
        <v>45325.0</v>
      </c>
      <c r="G476" s="2" t="s">
        <v>414</v>
      </c>
      <c r="H476" s="11">
        <v>5.3999836E7</v>
      </c>
      <c r="I476" s="2" t="s">
        <v>414</v>
      </c>
      <c r="J476" s="2" t="s">
        <v>69</v>
      </c>
      <c r="K476" s="2" t="s">
        <v>42</v>
      </c>
      <c r="L476" s="2">
        <v>166.0</v>
      </c>
      <c r="N476" s="11">
        <v>551019.0</v>
      </c>
      <c r="O476" s="4">
        <v>45323.0</v>
      </c>
      <c r="P476" s="2" t="b">
        <v>0</v>
      </c>
    </row>
    <row r="477">
      <c r="A477" s="2" t="s">
        <v>579</v>
      </c>
      <c r="B477" s="2" t="s">
        <v>99</v>
      </c>
      <c r="C477" s="2" t="s">
        <v>18</v>
      </c>
      <c r="D477" s="2" t="s">
        <v>58</v>
      </c>
      <c r="E477" s="2">
        <v>183.0</v>
      </c>
      <c r="F477" s="3">
        <v>45419.0</v>
      </c>
      <c r="G477" s="3">
        <v>45484.0</v>
      </c>
      <c r="H477" s="11">
        <v>5.6035435E7</v>
      </c>
      <c r="I477" s="2">
        <v>5.2019599E7</v>
      </c>
      <c r="J477" s="2" t="s">
        <v>20</v>
      </c>
      <c r="K477" s="2" t="s">
        <v>42</v>
      </c>
      <c r="L477" s="2">
        <v>33.0</v>
      </c>
      <c r="M477" s="2">
        <v>65.0</v>
      </c>
      <c r="N477" s="11">
        <v>306205.0</v>
      </c>
      <c r="O477" s="4">
        <v>45413.0</v>
      </c>
      <c r="P477" s="2" t="b">
        <v>1</v>
      </c>
    </row>
    <row r="478">
      <c r="A478" s="2" t="s">
        <v>580</v>
      </c>
      <c r="B478" s="2" t="s">
        <v>27</v>
      </c>
      <c r="C478" s="2" t="s">
        <v>28</v>
      </c>
      <c r="D478" s="2" t="s">
        <v>49</v>
      </c>
      <c r="E478" s="2">
        <v>133.0</v>
      </c>
      <c r="F478" s="3">
        <v>45740.0</v>
      </c>
      <c r="G478" s="3">
        <v>45785.0</v>
      </c>
      <c r="H478" s="11">
        <v>1.59587331E8</v>
      </c>
      <c r="I478" s="2">
        <v>1.5302738E8</v>
      </c>
      <c r="J478" s="2" t="s">
        <v>20</v>
      </c>
      <c r="K478" s="2" t="s">
        <v>21</v>
      </c>
      <c r="L478" s="2">
        <v>153.0</v>
      </c>
      <c r="M478" s="2">
        <v>45.0</v>
      </c>
      <c r="N478" s="11">
        <v>1199905.0</v>
      </c>
      <c r="O478" s="4">
        <v>45717.0</v>
      </c>
      <c r="P478" s="2" t="b">
        <v>1</v>
      </c>
    </row>
    <row r="479">
      <c r="A479" s="2" t="s">
        <v>581</v>
      </c>
      <c r="B479" s="2" t="s">
        <v>54</v>
      </c>
      <c r="C479" s="2" t="s">
        <v>57</v>
      </c>
      <c r="D479" s="2" t="s">
        <v>81</v>
      </c>
      <c r="E479" s="2">
        <v>1669.0</v>
      </c>
      <c r="F479" s="3">
        <v>45181.0</v>
      </c>
      <c r="G479" s="3">
        <v>45219.0</v>
      </c>
      <c r="H479" s="11">
        <v>3.60304635E8</v>
      </c>
      <c r="I479" s="2">
        <v>3.50989872E8</v>
      </c>
      <c r="J479" s="2" t="s">
        <v>20</v>
      </c>
      <c r="K479" s="2" t="s">
        <v>21</v>
      </c>
      <c r="L479" s="2">
        <v>20.0</v>
      </c>
      <c r="M479" s="2">
        <v>38.0</v>
      </c>
      <c r="N479" s="11">
        <v>215881.0</v>
      </c>
      <c r="O479" s="4">
        <v>45170.0</v>
      </c>
      <c r="P479" s="2" t="b">
        <v>1</v>
      </c>
    </row>
    <row r="480">
      <c r="A480" s="2" t="s">
        <v>582</v>
      </c>
      <c r="B480" s="2" t="s">
        <v>227</v>
      </c>
      <c r="C480" s="2" t="s">
        <v>24</v>
      </c>
      <c r="D480" s="2" t="s">
        <v>102</v>
      </c>
      <c r="E480" s="2">
        <v>168.0</v>
      </c>
      <c r="F480" s="3">
        <v>45426.0</v>
      </c>
      <c r="G480" s="3">
        <v>45583.0</v>
      </c>
      <c r="H480" s="11">
        <v>1.59080475E8</v>
      </c>
      <c r="I480" s="2">
        <v>1.65614165E8</v>
      </c>
      <c r="J480" s="2" t="s">
        <v>20</v>
      </c>
      <c r="K480" s="2" t="s">
        <v>73</v>
      </c>
      <c r="L480" s="2">
        <v>54.0</v>
      </c>
      <c r="M480" s="2">
        <v>157.0</v>
      </c>
      <c r="N480" s="11">
        <v>946908.0</v>
      </c>
      <c r="O480" s="4">
        <v>45413.0</v>
      </c>
      <c r="P480" s="2" t="b">
        <v>1</v>
      </c>
    </row>
    <row r="481">
      <c r="A481" s="2" t="s">
        <v>583</v>
      </c>
      <c r="B481" s="2" t="s">
        <v>160</v>
      </c>
      <c r="C481" s="2" t="s">
        <v>28</v>
      </c>
      <c r="D481" s="2" t="s">
        <v>49</v>
      </c>
      <c r="E481" s="2">
        <v>141.0</v>
      </c>
      <c r="F481" s="3">
        <v>45847.0</v>
      </c>
      <c r="G481" s="2" t="s">
        <v>414</v>
      </c>
      <c r="H481" s="11">
        <v>1.7198475E8</v>
      </c>
      <c r="I481" s="2">
        <v>1.66335796E8</v>
      </c>
      <c r="J481" s="2" t="s">
        <v>20</v>
      </c>
      <c r="K481" s="2" t="s">
        <v>73</v>
      </c>
      <c r="L481" s="2">
        <v>53.0</v>
      </c>
      <c r="M481" s="2">
        <v>195.0</v>
      </c>
      <c r="N481" s="11">
        <v>1219750.0</v>
      </c>
      <c r="O481" s="4">
        <v>45839.0</v>
      </c>
      <c r="P481" s="2" t="b">
        <v>1</v>
      </c>
    </row>
    <row r="482">
      <c r="A482" s="2" t="s">
        <v>584</v>
      </c>
      <c r="B482" s="2" t="s">
        <v>142</v>
      </c>
      <c r="C482" s="2" t="s">
        <v>64</v>
      </c>
      <c r="D482" s="2" t="s">
        <v>58</v>
      </c>
      <c r="E482" s="2">
        <v>139.0</v>
      </c>
      <c r="F482" s="3">
        <v>45406.0</v>
      </c>
      <c r="G482" s="3">
        <v>45574.0</v>
      </c>
      <c r="H482" s="11">
        <v>8.3652403E7</v>
      </c>
      <c r="I482" s="2">
        <v>8.4382123E7</v>
      </c>
      <c r="J482" s="2" t="s">
        <v>20</v>
      </c>
      <c r="K482" s="2" t="s">
        <v>21</v>
      </c>
      <c r="L482" s="2">
        <v>140.0</v>
      </c>
      <c r="M482" s="2">
        <v>168.0</v>
      </c>
      <c r="N482" s="11">
        <v>601816.0</v>
      </c>
      <c r="O482" s="4">
        <v>45383.0</v>
      </c>
      <c r="P482" s="2" t="b">
        <v>1</v>
      </c>
    </row>
    <row r="483">
      <c r="A483" s="2" t="s">
        <v>585</v>
      </c>
      <c r="B483" s="2" t="s">
        <v>201</v>
      </c>
      <c r="C483" s="2" t="s">
        <v>28</v>
      </c>
      <c r="D483" s="2" t="s">
        <v>37</v>
      </c>
      <c r="E483" s="2">
        <v>434.0</v>
      </c>
      <c r="F483" s="3">
        <v>45391.0</v>
      </c>
      <c r="G483" s="3">
        <v>45569.0</v>
      </c>
      <c r="H483" s="11">
        <v>8.5409307E8</v>
      </c>
      <c r="I483" s="2">
        <v>8.86023543E8</v>
      </c>
      <c r="J483" s="2" t="s">
        <v>20</v>
      </c>
      <c r="K483" s="2" t="s">
        <v>21</v>
      </c>
      <c r="L483" s="2">
        <v>163.0</v>
      </c>
      <c r="M483" s="2">
        <v>178.0</v>
      </c>
      <c r="N483" s="11">
        <v>1967956.0</v>
      </c>
      <c r="O483" s="4">
        <v>45383.0</v>
      </c>
      <c r="P483" s="2" t="b">
        <v>1</v>
      </c>
    </row>
    <row r="484">
      <c r="A484" s="2" t="s">
        <v>586</v>
      </c>
      <c r="B484" s="2" t="s">
        <v>142</v>
      </c>
      <c r="C484" s="2" t="s">
        <v>40</v>
      </c>
      <c r="D484" s="2" t="s">
        <v>29</v>
      </c>
      <c r="E484" s="2">
        <v>2356.0</v>
      </c>
      <c r="F484" s="3">
        <v>44991.0</v>
      </c>
      <c r="G484" s="3">
        <v>45143.0</v>
      </c>
      <c r="H484" s="11">
        <v>3.12128152E8</v>
      </c>
      <c r="I484" s="2">
        <v>2.96640076E8</v>
      </c>
      <c r="J484" s="2" t="s">
        <v>20</v>
      </c>
      <c r="K484" s="2" t="s">
        <v>73</v>
      </c>
      <c r="L484" s="2">
        <v>146.0</v>
      </c>
      <c r="M484" s="2">
        <v>152.0</v>
      </c>
      <c r="N484" s="11">
        <v>132482.0</v>
      </c>
      <c r="O484" s="4">
        <v>44986.0</v>
      </c>
      <c r="P484" s="2" t="b">
        <v>1</v>
      </c>
    </row>
    <row r="485">
      <c r="A485" s="2" t="s">
        <v>587</v>
      </c>
      <c r="B485" s="2" t="s">
        <v>113</v>
      </c>
      <c r="C485" s="2" t="s">
        <v>28</v>
      </c>
      <c r="D485" s="2" t="s">
        <v>37</v>
      </c>
      <c r="E485" s="2">
        <v>465.0</v>
      </c>
      <c r="F485" s="3">
        <v>45256.0</v>
      </c>
      <c r="G485" s="3">
        <v>45404.0</v>
      </c>
      <c r="H485" s="11">
        <v>9.68292978E8</v>
      </c>
      <c r="I485" s="2">
        <v>8.97611814E8</v>
      </c>
      <c r="J485" s="2" t="s">
        <v>20</v>
      </c>
      <c r="K485" s="2" t="s">
        <v>42</v>
      </c>
      <c r="L485" s="2">
        <v>50.0</v>
      </c>
      <c r="M485" s="2">
        <v>148.0</v>
      </c>
      <c r="N485" s="11">
        <v>2082350.0</v>
      </c>
      <c r="O485" s="6">
        <v>45231.0</v>
      </c>
      <c r="P485" s="2" t="b">
        <v>1</v>
      </c>
    </row>
    <row r="486">
      <c r="A486" s="2" t="s">
        <v>588</v>
      </c>
      <c r="B486" s="2" t="s">
        <v>48</v>
      </c>
      <c r="C486" s="2" t="s">
        <v>40</v>
      </c>
      <c r="D486" s="2" t="s">
        <v>72</v>
      </c>
      <c r="E486" s="2">
        <v>207.0</v>
      </c>
      <c r="F486" s="3">
        <v>45028.0</v>
      </c>
      <c r="G486" s="3">
        <v>45207.0</v>
      </c>
      <c r="H486" s="11">
        <v>1.1033802E8</v>
      </c>
      <c r="I486" s="2">
        <v>1.13125975E8</v>
      </c>
      <c r="J486" s="2" t="s">
        <v>20</v>
      </c>
      <c r="K486" s="2" t="s">
        <v>25</v>
      </c>
      <c r="L486" s="2">
        <v>164.0</v>
      </c>
      <c r="M486" s="2">
        <v>179.0</v>
      </c>
      <c r="N486" s="11">
        <v>533034.0</v>
      </c>
      <c r="O486" s="4">
        <v>45017.0</v>
      </c>
      <c r="P486" s="2" t="b">
        <v>1</v>
      </c>
    </row>
    <row r="487">
      <c r="A487" s="2" t="s">
        <v>589</v>
      </c>
      <c r="B487" s="2" t="s">
        <v>88</v>
      </c>
      <c r="C487" s="2" t="s">
        <v>18</v>
      </c>
      <c r="D487" s="2" t="s">
        <v>37</v>
      </c>
      <c r="E487" s="2">
        <v>325.0</v>
      </c>
      <c r="F487" s="3">
        <v>45547.0</v>
      </c>
      <c r="G487" s="2" t="s">
        <v>414</v>
      </c>
      <c r="H487" s="11">
        <v>2.44661299E8</v>
      </c>
      <c r="I487" s="2" t="s">
        <v>414</v>
      </c>
      <c r="J487" s="2" t="s">
        <v>41</v>
      </c>
      <c r="K487" s="2" t="s">
        <v>42</v>
      </c>
      <c r="L487" s="2">
        <v>172.0</v>
      </c>
      <c r="N487" s="11">
        <v>752804.0</v>
      </c>
      <c r="O487" s="4">
        <v>45536.0</v>
      </c>
      <c r="P487" s="2" t="b">
        <v>0</v>
      </c>
    </row>
    <row r="488">
      <c r="A488" s="2" t="s">
        <v>590</v>
      </c>
      <c r="B488" s="2" t="s">
        <v>46</v>
      </c>
      <c r="C488" s="2" t="s">
        <v>64</v>
      </c>
      <c r="D488" s="2" t="s">
        <v>33</v>
      </c>
      <c r="E488" s="2">
        <v>94.0</v>
      </c>
      <c r="F488" s="3">
        <v>45498.0</v>
      </c>
      <c r="G488" s="2" t="s">
        <v>414</v>
      </c>
      <c r="H488" s="11">
        <v>4.9863688E7</v>
      </c>
      <c r="I488" s="2" t="s">
        <v>414</v>
      </c>
      <c r="J488" s="2" t="s">
        <v>69</v>
      </c>
      <c r="K488" s="2" t="s">
        <v>21</v>
      </c>
      <c r="L488" s="2">
        <v>162.0</v>
      </c>
      <c r="N488" s="11">
        <v>530465.0</v>
      </c>
      <c r="O488" s="4">
        <v>45474.0</v>
      </c>
      <c r="P488" s="2" t="b">
        <v>0</v>
      </c>
    </row>
    <row r="489">
      <c r="A489" s="2" t="s">
        <v>591</v>
      </c>
      <c r="B489" s="2" t="s">
        <v>99</v>
      </c>
      <c r="C489" s="2" t="s">
        <v>24</v>
      </c>
      <c r="D489" s="2" t="s">
        <v>19</v>
      </c>
      <c r="E489" s="2">
        <v>63.0</v>
      </c>
      <c r="F489" s="3">
        <v>45006.0</v>
      </c>
      <c r="G489" s="2" t="s">
        <v>414</v>
      </c>
      <c r="H489" s="11">
        <v>3.0938566E7</v>
      </c>
      <c r="I489" s="2" t="s">
        <v>414</v>
      </c>
      <c r="J489" s="2" t="s">
        <v>34</v>
      </c>
      <c r="K489" s="2" t="s">
        <v>42</v>
      </c>
      <c r="L489" s="2">
        <v>141.0</v>
      </c>
      <c r="N489" s="11">
        <v>491088.0</v>
      </c>
      <c r="O489" s="4">
        <v>44986.0</v>
      </c>
      <c r="P489" s="2" t="b">
        <v>0</v>
      </c>
    </row>
    <row r="490">
      <c r="A490" s="2" t="s">
        <v>592</v>
      </c>
      <c r="B490" s="2" t="s">
        <v>183</v>
      </c>
      <c r="C490" s="2" t="s">
        <v>24</v>
      </c>
      <c r="D490" s="2" t="s">
        <v>72</v>
      </c>
      <c r="E490" s="2">
        <v>314.0</v>
      </c>
      <c r="F490" s="3">
        <v>45567.0</v>
      </c>
      <c r="G490" s="2" t="s">
        <v>414</v>
      </c>
      <c r="H490" s="11">
        <v>4.22368609E8</v>
      </c>
      <c r="I490" s="2" t="s">
        <v>414</v>
      </c>
      <c r="J490" s="2" t="s">
        <v>34</v>
      </c>
      <c r="K490" s="2" t="s">
        <v>73</v>
      </c>
      <c r="L490" s="2">
        <v>32.0</v>
      </c>
      <c r="N490" s="11">
        <v>1345123.0</v>
      </c>
      <c r="O490" s="6">
        <v>45566.0</v>
      </c>
      <c r="P490" s="2" t="b">
        <v>0</v>
      </c>
    </row>
    <row r="491">
      <c r="A491" s="2" t="s">
        <v>593</v>
      </c>
      <c r="B491" s="2" t="s">
        <v>349</v>
      </c>
      <c r="C491" s="2" t="s">
        <v>57</v>
      </c>
      <c r="D491" s="2" t="s">
        <v>29</v>
      </c>
      <c r="E491" s="2">
        <v>3332.0</v>
      </c>
      <c r="F491" s="3">
        <v>45608.0</v>
      </c>
      <c r="G491" s="3">
        <v>45649.0</v>
      </c>
      <c r="H491" s="11">
        <v>4.39851378E8</v>
      </c>
      <c r="I491" s="2">
        <v>4.17358894E8</v>
      </c>
      <c r="J491" s="2" t="s">
        <v>20</v>
      </c>
      <c r="K491" s="2" t="s">
        <v>73</v>
      </c>
      <c r="L491" s="2">
        <v>134.0</v>
      </c>
      <c r="M491" s="2">
        <v>41.0</v>
      </c>
      <c r="N491" s="11">
        <v>132008.0</v>
      </c>
      <c r="O491" s="6">
        <v>45597.0</v>
      </c>
      <c r="P491" s="2" t="b">
        <v>1</v>
      </c>
    </row>
    <row r="492">
      <c r="A492" s="2" t="s">
        <v>594</v>
      </c>
      <c r="B492" s="2" t="s">
        <v>208</v>
      </c>
      <c r="C492" s="2" t="s">
        <v>24</v>
      </c>
      <c r="D492" s="2" t="s">
        <v>102</v>
      </c>
      <c r="E492" s="2">
        <v>168.0</v>
      </c>
      <c r="F492" s="3">
        <v>45882.0</v>
      </c>
      <c r="G492" s="3">
        <v>45977.0</v>
      </c>
      <c r="H492" s="11">
        <v>1.46059441E8</v>
      </c>
      <c r="I492" s="2">
        <v>1.57670589E8</v>
      </c>
      <c r="J492" s="2" t="s">
        <v>20</v>
      </c>
      <c r="K492" s="2" t="s">
        <v>30</v>
      </c>
      <c r="L492" s="2">
        <v>110.0</v>
      </c>
      <c r="M492" s="2">
        <v>95.0</v>
      </c>
      <c r="N492" s="11">
        <v>869401.0</v>
      </c>
      <c r="O492" s="4">
        <v>45870.0</v>
      </c>
      <c r="P492" s="2" t="b">
        <v>1</v>
      </c>
    </row>
    <row r="493">
      <c r="A493" s="2" t="s">
        <v>595</v>
      </c>
      <c r="B493" s="2" t="s">
        <v>32</v>
      </c>
      <c r="C493" s="2" t="s">
        <v>57</v>
      </c>
      <c r="D493" s="2" t="s">
        <v>49</v>
      </c>
      <c r="E493" s="2">
        <v>261.0</v>
      </c>
      <c r="F493" s="3">
        <v>45173.0</v>
      </c>
      <c r="G493" s="3">
        <v>45242.0</v>
      </c>
      <c r="H493" s="11">
        <v>1.1693095E8</v>
      </c>
      <c r="I493" s="2">
        <v>1.17870863E8</v>
      </c>
      <c r="J493" s="2" t="s">
        <v>20</v>
      </c>
      <c r="K493" s="2" t="s">
        <v>30</v>
      </c>
      <c r="L493" s="2">
        <v>97.0</v>
      </c>
      <c r="M493" s="2">
        <v>69.0</v>
      </c>
      <c r="N493" s="11">
        <v>448011.0</v>
      </c>
      <c r="O493" s="4">
        <v>45170.0</v>
      </c>
      <c r="P493" s="2" t="b">
        <v>1</v>
      </c>
    </row>
    <row r="494">
      <c r="A494" s="2" t="s">
        <v>596</v>
      </c>
      <c r="B494" s="2" t="s">
        <v>78</v>
      </c>
      <c r="C494" s="2" t="s">
        <v>101</v>
      </c>
      <c r="D494" s="2" t="s">
        <v>81</v>
      </c>
      <c r="E494" s="2">
        <v>3652.0</v>
      </c>
      <c r="F494" s="3">
        <v>44962.0</v>
      </c>
      <c r="G494" s="2" t="s">
        <v>414</v>
      </c>
      <c r="H494" s="11">
        <v>5.06738367E8</v>
      </c>
      <c r="I494" s="2" t="s">
        <v>414</v>
      </c>
      <c r="J494" s="2" t="s">
        <v>34</v>
      </c>
      <c r="K494" s="2" t="s">
        <v>42</v>
      </c>
      <c r="L494" s="2">
        <v>82.0</v>
      </c>
      <c r="N494" s="11">
        <v>138756.0</v>
      </c>
      <c r="O494" s="4">
        <v>44958.0</v>
      </c>
      <c r="P494" s="2" t="b">
        <v>0</v>
      </c>
    </row>
    <row r="495">
      <c r="A495" s="2" t="s">
        <v>597</v>
      </c>
      <c r="B495" s="2" t="s">
        <v>54</v>
      </c>
      <c r="C495" s="2" t="s">
        <v>28</v>
      </c>
      <c r="D495" s="2" t="s">
        <v>72</v>
      </c>
      <c r="E495" s="2">
        <v>234.0</v>
      </c>
      <c r="F495" s="3">
        <v>45717.0</v>
      </c>
      <c r="G495" s="2" t="s">
        <v>414</v>
      </c>
      <c r="H495" s="11">
        <v>4.22082302E8</v>
      </c>
      <c r="I495" s="2" t="s">
        <v>414</v>
      </c>
      <c r="J495" s="2" t="s">
        <v>34</v>
      </c>
      <c r="K495" s="2" t="s">
        <v>25</v>
      </c>
      <c r="L495" s="2">
        <v>135.0</v>
      </c>
      <c r="N495" s="11">
        <v>1803771.0</v>
      </c>
      <c r="O495" s="4">
        <v>45717.0</v>
      </c>
      <c r="P495" s="2" t="b">
        <v>0</v>
      </c>
    </row>
    <row r="496">
      <c r="A496" s="2" t="s">
        <v>598</v>
      </c>
      <c r="B496" s="2" t="s">
        <v>211</v>
      </c>
      <c r="C496" s="2" t="s">
        <v>64</v>
      </c>
      <c r="D496" s="2" t="s">
        <v>29</v>
      </c>
      <c r="E496" s="2">
        <v>1667.0</v>
      </c>
      <c r="F496" s="3">
        <v>45398.0</v>
      </c>
      <c r="G496" s="3">
        <v>45448.0</v>
      </c>
      <c r="H496" s="11">
        <v>3.22712933E8</v>
      </c>
      <c r="I496" s="2">
        <v>3.42830875E8</v>
      </c>
      <c r="J496" s="2" t="s">
        <v>20</v>
      </c>
      <c r="K496" s="2" t="s">
        <v>42</v>
      </c>
      <c r="L496" s="2">
        <v>64.0</v>
      </c>
      <c r="M496" s="2">
        <v>50.0</v>
      </c>
      <c r="N496" s="11">
        <v>193589.0</v>
      </c>
      <c r="O496" s="4">
        <v>45383.0</v>
      </c>
      <c r="P496" s="2" t="b">
        <v>1</v>
      </c>
    </row>
    <row r="497">
      <c r="A497" s="2" t="s">
        <v>599</v>
      </c>
      <c r="B497" s="2" t="s">
        <v>208</v>
      </c>
      <c r="C497" s="2" t="s">
        <v>24</v>
      </c>
      <c r="D497" s="2" t="s">
        <v>37</v>
      </c>
      <c r="E497" s="2">
        <v>347.0</v>
      </c>
      <c r="F497" s="3">
        <v>45509.0</v>
      </c>
      <c r="G497" s="2" t="s">
        <v>414</v>
      </c>
      <c r="H497" s="11">
        <v>4.37101775E8</v>
      </c>
      <c r="I497" s="2" t="s">
        <v>414</v>
      </c>
      <c r="J497" s="2" t="s">
        <v>34</v>
      </c>
      <c r="K497" s="2" t="s">
        <v>30</v>
      </c>
      <c r="L497" s="2">
        <v>128.0</v>
      </c>
      <c r="N497" s="11">
        <v>1259659.0</v>
      </c>
      <c r="O497" s="4">
        <v>45505.0</v>
      </c>
      <c r="P497" s="2" t="b">
        <v>0</v>
      </c>
    </row>
    <row r="498">
      <c r="A498" s="2" t="s">
        <v>600</v>
      </c>
      <c r="B498" s="2" t="s">
        <v>137</v>
      </c>
      <c r="C498" s="2" t="s">
        <v>28</v>
      </c>
      <c r="D498" s="2" t="s">
        <v>29</v>
      </c>
      <c r="E498" s="2">
        <v>1181.0</v>
      </c>
      <c r="F498" s="3">
        <v>45234.0</v>
      </c>
      <c r="G498" s="3">
        <v>45396.0</v>
      </c>
      <c r="H498" s="11">
        <v>4.52915336E8</v>
      </c>
      <c r="I498" s="2">
        <v>4.73214777E8</v>
      </c>
      <c r="J498" s="2" t="s">
        <v>20</v>
      </c>
      <c r="K498" s="2" t="s">
        <v>30</v>
      </c>
      <c r="L498" s="2">
        <v>94.0</v>
      </c>
      <c r="M498" s="2">
        <v>162.0</v>
      </c>
      <c r="N498" s="11">
        <v>383502.0</v>
      </c>
      <c r="O498" s="6">
        <v>45231.0</v>
      </c>
      <c r="P498" s="2" t="b">
        <v>1</v>
      </c>
    </row>
    <row r="499">
      <c r="A499" s="2" t="s">
        <v>601</v>
      </c>
      <c r="B499" s="2" t="s">
        <v>227</v>
      </c>
      <c r="C499" s="2" t="s">
        <v>40</v>
      </c>
      <c r="D499" s="2" t="s">
        <v>49</v>
      </c>
      <c r="E499" s="2">
        <v>156.0</v>
      </c>
      <c r="F499" s="3">
        <v>45692.0</v>
      </c>
      <c r="G499" s="3">
        <v>45861.0</v>
      </c>
      <c r="H499" s="11">
        <v>6.6691785E7</v>
      </c>
      <c r="I499" s="2">
        <v>6.8120452E7</v>
      </c>
      <c r="J499" s="2" t="s">
        <v>20</v>
      </c>
      <c r="K499" s="2" t="s">
        <v>73</v>
      </c>
      <c r="L499" s="2">
        <v>18.0</v>
      </c>
      <c r="M499" s="2">
        <v>169.0</v>
      </c>
      <c r="N499" s="11">
        <v>427511.0</v>
      </c>
      <c r="O499" s="4">
        <v>45689.0</v>
      </c>
      <c r="P499" s="2" t="b">
        <v>1</v>
      </c>
    </row>
    <row r="500">
      <c r="A500" s="2" t="s">
        <v>602</v>
      </c>
      <c r="B500" s="2" t="s">
        <v>275</v>
      </c>
      <c r="C500" s="2" t="s">
        <v>24</v>
      </c>
      <c r="D500" s="2" t="s">
        <v>19</v>
      </c>
      <c r="E500" s="2">
        <v>50.0</v>
      </c>
      <c r="F500" s="3">
        <v>45080.0</v>
      </c>
      <c r="G500" s="3">
        <v>45273.0</v>
      </c>
      <c r="H500" s="11">
        <v>2.5921058E7</v>
      </c>
      <c r="I500" s="2">
        <v>2.4056897E7</v>
      </c>
      <c r="J500" s="2" t="s">
        <v>20</v>
      </c>
      <c r="K500" s="2" t="s">
        <v>73</v>
      </c>
      <c r="L500" s="2">
        <v>119.0</v>
      </c>
      <c r="M500" s="2">
        <v>193.0</v>
      </c>
      <c r="N500" s="11">
        <v>518421.0</v>
      </c>
      <c r="O500" s="4">
        <v>45078.0</v>
      </c>
      <c r="P500" s="2" t="b">
        <v>1</v>
      </c>
    </row>
    <row r="501">
      <c r="A501" s="2" t="s">
        <v>603</v>
      </c>
      <c r="B501" s="2" t="s">
        <v>227</v>
      </c>
      <c r="C501" s="2" t="s">
        <v>57</v>
      </c>
      <c r="D501" s="2" t="s">
        <v>29</v>
      </c>
      <c r="E501" s="2">
        <v>4534.0</v>
      </c>
      <c r="F501" s="3">
        <v>45369.0</v>
      </c>
      <c r="G501" s="3">
        <v>45484.0</v>
      </c>
      <c r="H501" s="11">
        <v>5.93616281E8</v>
      </c>
      <c r="I501" s="2">
        <v>5.78055763E8</v>
      </c>
      <c r="J501" s="2" t="s">
        <v>20</v>
      </c>
      <c r="K501" s="2" t="s">
        <v>73</v>
      </c>
      <c r="L501" s="2">
        <v>151.0</v>
      </c>
      <c r="M501" s="2">
        <v>115.0</v>
      </c>
      <c r="N501" s="11">
        <v>130926.0</v>
      </c>
      <c r="O501" s="4">
        <v>45352.0</v>
      </c>
      <c r="P501" s="2" t="b">
        <v>1</v>
      </c>
    </row>
    <row r="502">
      <c r="H502" s="11"/>
      <c r="N502" s="11"/>
    </row>
    <row r="503">
      <c r="H503" s="11"/>
      <c r="N503" s="11"/>
    </row>
    <row r="504">
      <c r="H504" s="11"/>
      <c r="N504" s="11"/>
    </row>
    <row r="505">
      <c r="H505" s="11"/>
      <c r="N505" s="11"/>
    </row>
    <row r="506">
      <c r="H506" s="11"/>
      <c r="N506" s="11"/>
    </row>
    <row r="507">
      <c r="H507" s="11"/>
      <c r="N507" s="11"/>
    </row>
    <row r="508">
      <c r="H508" s="11"/>
      <c r="N508" s="11"/>
    </row>
    <row r="509">
      <c r="H509" s="11"/>
      <c r="N509" s="11"/>
    </row>
    <row r="510">
      <c r="H510" s="11"/>
      <c r="N510" s="11"/>
    </row>
    <row r="511">
      <c r="H511" s="11"/>
      <c r="N511" s="11"/>
    </row>
    <row r="512">
      <c r="H512" s="11"/>
      <c r="N512" s="11"/>
    </row>
    <row r="513">
      <c r="H513" s="11"/>
      <c r="N513" s="11"/>
    </row>
    <row r="514">
      <c r="H514" s="11"/>
      <c r="N514" s="11"/>
    </row>
    <row r="515">
      <c r="H515" s="11"/>
      <c r="N515" s="11"/>
    </row>
    <row r="516">
      <c r="H516" s="11"/>
      <c r="N516" s="11"/>
    </row>
    <row r="517">
      <c r="H517" s="11"/>
      <c r="N517" s="11"/>
    </row>
    <row r="518">
      <c r="H518" s="11"/>
      <c r="N518" s="11"/>
    </row>
    <row r="519">
      <c r="H519" s="11"/>
      <c r="N519" s="11"/>
    </row>
    <row r="520">
      <c r="H520" s="11"/>
      <c r="N520" s="11"/>
    </row>
    <row r="521">
      <c r="H521" s="11"/>
      <c r="N521" s="11"/>
    </row>
    <row r="522">
      <c r="H522" s="11"/>
      <c r="N522" s="11"/>
    </row>
    <row r="523">
      <c r="H523" s="11"/>
      <c r="N523" s="11"/>
    </row>
    <row r="524">
      <c r="H524" s="11"/>
      <c r="N524" s="11"/>
    </row>
    <row r="525">
      <c r="H525" s="11"/>
      <c r="N525" s="11"/>
    </row>
    <row r="526">
      <c r="H526" s="11"/>
      <c r="N526" s="11"/>
    </row>
    <row r="527">
      <c r="H527" s="11"/>
      <c r="N527" s="11"/>
    </row>
    <row r="528">
      <c r="H528" s="11"/>
      <c r="N528" s="11"/>
    </row>
    <row r="529">
      <c r="H529" s="11"/>
      <c r="N529" s="11"/>
    </row>
    <row r="530">
      <c r="H530" s="11"/>
      <c r="N530" s="11"/>
    </row>
    <row r="531">
      <c r="H531" s="11"/>
      <c r="N531" s="11"/>
    </row>
    <row r="532">
      <c r="H532" s="11"/>
      <c r="N532" s="11"/>
    </row>
    <row r="533">
      <c r="H533" s="11"/>
      <c r="N533" s="11"/>
    </row>
    <row r="534">
      <c r="H534" s="11"/>
      <c r="N534" s="11"/>
    </row>
    <row r="535">
      <c r="H535" s="11"/>
      <c r="N535" s="11"/>
    </row>
    <row r="536">
      <c r="H536" s="11"/>
      <c r="N536" s="11"/>
    </row>
    <row r="537">
      <c r="H537" s="11"/>
      <c r="N537" s="11"/>
    </row>
    <row r="538">
      <c r="H538" s="11"/>
      <c r="N538" s="11"/>
    </row>
    <row r="539">
      <c r="H539" s="11"/>
      <c r="N539" s="11"/>
    </row>
    <row r="540">
      <c r="H540" s="11"/>
      <c r="N540" s="11"/>
    </row>
    <row r="541">
      <c r="H541" s="11"/>
      <c r="N541" s="11"/>
    </row>
    <row r="542">
      <c r="H542" s="11"/>
      <c r="N542" s="11"/>
    </row>
    <row r="543">
      <c r="H543" s="11"/>
      <c r="N543" s="11"/>
    </row>
    <row r="544">
      <c r="H544" s="11"/>
      <c r="N544" s="11"/>
    </row>
    <row r="545">
      <c r="H545" s="11"/>
      <c r="N545" s="11"/>
    </row>
    <row r="546">
      <c r="H546" s="11"/>
      <c r="N546" s="11"/>
    </row>
    <row r="547">
      <c r="H547" s="11"/>
      <c r="N547" s="11"/>
    </row>
    <row r="548">
      <c r="H548" s="11"/>
      <c r="N548" s="11"/>
    </row>
    <row r="549">
      <c r="H549" s="11"/>
      <c r="N549" s="11"/>
    </row>
    <row r="550">
      <c r="H550" s="11"/>
      <c r="N550" s="11"/>
    </row>
    <row r="551">
      <c r="H551" s="11"/>
      <c r="N551" s="11"/>
    </row>
    <row r="552">
      <c r="H552" s="11"/>
      <c r="N552" s="11"/>
    </row>
    <row r="553">
      <c r="H553" s="11"/>
      <c r="N553" s="11"/>
    </row>
    <row r="554">
      <c r="H554" s="11"/>
      <c r="N554" s="11"/>
    </row>
    <row r="555">
      <c r="H555" s="11"/>
      <c r="N555" s="11"/>
    </row>
    <row r="556">
      <c r="H556" s="11"/>
      <c r="N556" s="11"/>
    </row>
    <row r="557">
      <c r="H557" s="11"/>
      <c r="N557" s="11"/>
    </row>
    <row r="558">
      <c r="H558" s="11"/>
      <c r="N558" s="11"/>
    </row>
    <row r="559">
      <c r="H559" s="11"/>
      <c r="N559" s="11"/>
    </row>
    <row r="560">
      <c r="H560" s="11"/>
      <c r="N560" s="11"/>
    </row>
    <row r="561">
      <c r="H561" s="11"/>
      <c r="N561" s="11"/>
    </row>
    <row r="562">
      <c r="H562" s="11"/>
      <c r="N562" s="11"/>
    </row>
    <row r="563">
      <c r="H563" s="11"/>
      <c r="N563" s="11"/>
    </row>
    <row r="564">
      <c r="H564" s="11"/>
      <c r="N564" s="11"/>
    </row>
    <row r="565">
      <c r="H565" s="11"/>
      <c r="N565" s="11"/>
    </row>
    <row r="566">
      <c r="H566" s="11"/>
      <c r="N566" s="11"/>
    </row>
    <row r="567">
      <c r="H567" s="11"/>
      <c r="N567" s="11"/>
    </row>
    <row r="568">
      <c r="H568" s="11"/>
      <c r="N568" s="11"/>
    </row>
    <row r="569">
      <c r="H569" s="11"/>
      <c r="N569" s="11"/>
    </row>
    <row r="570">
      <c r="H570" s="11"/>
      <c r="N570" s="11"/>
    </row>
    <row r="571">
      <c r="H571" s="11"/>
      <c r="N571" s="11"/>
    </row>
    <row r="572">
      <c r="H572" s="11"/>
      <c r="N572" s="11"/>
    </row>
    <row r="573">
      <c r="H573" s="11"/>
      <c r="N573" s="11"/>
    </row>
    <row r="574">
      <c r="H574" s="11"/>
      <c r="N574" s="11"/>
    </row>
    <row r="575">
      <c r="H575" s="11"/>
      <c r="N575" s="11"/>
    </row>
    <row r="576">
      <c r="H576" s="11"/>
      <c r="N576" s="11"/>
    </row>
    <row r="577">
      <c r="H577" s="11"/>
      <c r="N577" s="11"/>
    </row>
    <row r="578">
      <c r="H578" s="11"/>
      <c r="N578" s="11"/>
    </row>
    <row r="579">
      <c r="H579" s="11"/>
      <c r="N579" s="11"/>
    </row>
    <row r="580">
      <c r="H580" s="11"/>
      <c r="N580" s="11"/>
    </row>
    <row r="581">
      <c r="H581" s="11"/>
      <c r="N581" s="11"/>
    </row>
    <row r="582">
      <c r="H582" s="11"/>
      <c r="N582" s="11"/>
    </row>
    <row r="583">
      <c r="H583" s="11"/>
      <c r="N583" s="11"/>
    </row>
    <row r="584">
      <c r="H584" s="11"/>
      <c r="N584" s="11"/>
    </row>
    <row r="585">
      <c r="H585" s="11"/>
      <c r="N585" s="11"/>
    </row>
    <row r="586">
      <c r="H586" s="11"/>
      <c r="N586" s="11"/>
    </row>
    <row r="587">
      <c r="H587" s="11"/>
      <c r="N587" s="11"/>
    </row>
    <row r="588">
      <c r="H588" s="11"/>
      <c r="N588" s="11"/>
    </row>
    <row r="589">
      <c r="H589" s="11"/>
      <c r="N589" s="11"/>
    </row>
    <row r="590">
      <c r="H590" s="11"/>
      <c r="N590" s="11"/>
    </row>
    <row r="591">
      <c r="H591" s="11"/>
      <c r="N591" s="11"/>
    </row>
    <row r="592">
      <c r="H592" s="11"/>
      <c r="N592" s="11"/>
    </row>
    <row r="593">
      <c r="H593" s="11"/>
      <c r="N593" s="11"/>
    </row>
    <row r="594">
      <c r="H594" s="11"/>
      <c r="N594" s="11"/>
    </row>
    <row r="595">
      <c r="H595" s="11"/>
      <c r="N595" s="11"/>
    </row>
    <row r="596">
      <c r="H596" s="11"/>
      <c r="N596" s="11"/>
    </row>
    <row r="597">
      <c r="H597" s="11"/>
      <c r="N597" s="11"/>
    </row>
    <row r="598">
      <c r="H598" s="11"/>
      <c r="N598" s="11"/>
    </row>
    <row r="599">
      <c r="H599" s="11"/>
      <c r="N599" s="11"/>
    </row>
    <row r="600">
      <c r="H600" s="11"/>
      <c r="N600" s="11"/>
    </row>
    <row r="601">
      <c r="H601" s="11"/>
      <c r="N601" s="11"/>
    </row>
    <row r="602">
      <c r="H602" s="11"/>
      <c r="N602" s="11"/>
    </row>
    <row r="603">
      <c r="H603" s="11"/>
      <c r="N603" s="11"/>
    </row>
    <row r="604">
      <c r="H604" s="11"/>
      <c r="N604" s="11"/>
    </row>
    <row r="605">
      <c r="H605" s="11"/>
      <c r="N605" s="11"/>
    </row>
    <row r="606">
      <c r="H606" s="11"/>
      <c r="N606" s="11"/>
    </row>
    <row r="607">
      <c r="H607" s="11"/>
      <c r="N607" s="11"/>
    </row>
    <row r="608">
      <c r="H608" s="11"/>
      <c r="N608" s="11"/>
    </row>
    <row r="609">
      <c r="H609" s="11"/>
      <c r="N609" s="11"/>
    </row>
    <row r="610">
      <c r="H610" s="11"/>
      <c r="N610" s="11"/>
    </row>
    <row r="611">
      <c r="H611" s="11"/>
      <c r="N611" s="11"/>
    </row>
    <row r="612">
      <c r="H612" s="11"/>
      <c r="N612" s="11"/>
    </row>
    <row r="613">
      <c r="H613" s="11"/>
      <c r="N613" s="11"/>
    </row>
    <row r="614">
      <c r="H614" s="11"/>
      <c r="N614" s="11"/>
    </row>
    <row r="615">
      <c r="H615" s="11"/>
      <c r="N615" s="11"/>
    </row>
    <row r="616">
      <c r="H616" s="11"/>
      <c r="N616" s="11"/>
    </row>
    <row r="617">
      <c r="H617" s="11"/>
      <c r="N617" s="11"/>
    </row>
    <row r="618">
      <c r="H618" s="11"/>
      <c r="N618" s="11"/>
    </row>
    <row r="619">
      <c r="H619" s="11"/>
      <c r="N619" s="11"/>
    </row>
    <row r="620">
      <c r="H620" s="11"/>
      <c r="N620" s="11"/>
    </row>
    <row r="621">
      <c r="H621" s="11"/>
      <c r="N621" s="11"/>
    </row>
    <row r="622">
      <c r="H622" s="11"/>
      <c r="N622" s="11"/>
    </row>
    <row r="623">
      <c r="H623" s="11"/>
      <c r="N623" s="11"/>
    </row>
    <row r="624">
      <c r="H624" s="11"/>
      <c r="N624" s="11"/>
    </row>
    <row r="625">
      <c r="H625" s="11"/>
      <c r="N625" s="11"/>
    </row>
    <row r="626">
      <c r="H626" s="11"/>
      <c r="N626" s="11"/>
    </row>
    <row r="627">
      <c r="H627" s="11"/>
      <c r="N627" s="11"/>
    </row>
    <row r="628">
      <c r="H628" s="11"/>
      <c r="N628" s="11"/>
    </row>
    <row r="629">
      <c r="H629" s="11"/>
      <c r="N629" s="11"/>
    </row>
    <row r="630">
      <c r="H630" s="11"/>
      <c r="N630" s="11"/>
    </row>
    <row r="631">
      <c r="H631" s="11"/>
      <c r="N631" s="11"/>
    </row>
    <row r="632">
      <c r="H632" s="11"/>
      <c r="N632" s="11"/>
    </row>
    <row r="633">
      <c r="H633" s="11"/>
      <c r="N633" s="11"/>
    </row>
    <row r="634">
      <c r="H634" s="11"/>
      <c r="N634" s="11"/>
    </row>
    <row r="635">
      <c r="H635" s="11"/>
      <c r="N635" s="11"/>
    </row>
    <row r="636">
      <c r="H636" s="11"/>
      <c r="N636" s="11"/>
    </row>
    <row r="637">
      <c r="H637" s="11"/>
      <c r="N637" s="11"/>
    </row>
    <row r="638">
      <c r="H638" s="11"/>
      <c r="N638" s="11"/>
    </row>
    <row r="639">
      <c r="H639" s="11"/>
      <c r="N639" s="11"/>
    </row>
    <row r="640">
      <c r="H640" s="11"/>
      <c r="N640" s="11"/>
    </row>
    <row r="641">
      <c r="H641" s="11"/>
      <c r="N641" s="11"/>
    </row>
    <row r="642">
      <c r="H642" s="11"/>
      <c r="N642" s="11"/>
    </row>
    <row r="643">
      <c r="H643" s="11"/>
      <c r="N643" s="11"/>
    </row>
    <row r="644">
      <c r="H644" s="11"/>
      <c r="N644" s="11"/>
    </row>
    <row r="645">
      <c r="H645" s="11"/>
      <c r="N645" s="11"/>
    </row>
    <row r="646">
      <c r="H646" s="11"/>
      <c r="N646" s="11"/>
    </row>
    <row r="647">
      <c r="H647" s="11"/>
      <c r="N647" s="11"/>
    </row>
    <row r="648">
      <c r="H648" s="11"/>
      <c r="N648" s="11"/>
    </row>
    <row r="649">
      <c r="H649" s="11"/>
      <c r="N649" s="11"/>
    </row>
    <row r="650">
      <c r="H650" s="11"/>
      <c r="N650" s="11"/>
    </row>
    <row r="651">
      <c r="H651" s="11"/>
      <c r="N651" s="11"/>
    </row>
    <row r="652">
      <c r="H652" s="11"/>
      <c r="N652" s="11"/>
    </row>
    <row r="653">
      <c r="H653" s="11"/>
      <c r="N653" s="11"/>
    </row>
    <row r="654">
      <c r="H654" s="11"/>
      <c r="N654" s="11"/>
    </row>
    <row r="655">
      <c r="H655" s="11"/>
      <c r="N655" s="11"/>
    </row>
    <row r="656">
      <c r="H656" s="11"/>
      <c r="N656" s="11"/>
    </row>
    <row r="657">
      <c r="H657" s="11"/>
      <c r="N657" s="11"/>
    </row>
    <row r="658">
      <c r="H658" s="11"/>
      <c r="N658" s="11"/>
    </row>
    <row r="659">
      <c r="H659" s="11"/>
      <c r="N659" s="11"/>
    </row>
    <row r="660">
      <c r="H660" s="11"/>
      <c r="N660" s="11"/>
    </row>
    <row r="661">
      <c r="H661" s="11"/>
      <c r="N661" s="11"/>
    </row>
    <row r="662">
      <c r="H662" s="11"/>
      <c r="N662" s="11"/>
    </row>
    <row r="663">
      <c r="H663" s="11"/>
      <c r="N663" s="11"/>
    </row>
    <row r="664">
      <c r="H664" s="11"/>
      <c r="N664" s="11"/>
    </row>
    <row r="665">
      <c r="H665" s="11"/>
      <c r="N665" s="11"/>
    </row>
    <row r="666">
      <c r="H666" s="11"/>
      <c r="N666" s="11"/>
    </row>
    <row r="667">
      <c r="H667" s="11"/>
      <c r="N667" s="11"/>
    </row>
    <row r="668">
      <c r="H668" s="11"/>
      <c r="N668" s="11"/>
    </row>
    <row r="669">
      <c r="H669" s="11"/>
      <c r="N669" s="11"/>
    </row>
    <row r="670">
      <c r="H670" s="11"/>
      <c r="N670" s="11"/>
    </row>
    <row r="671">
      <c r="H671" s="11"/>
      <c r="N671" s="11"/>
    </row>
    <row r="672">
      <c r="H672" s="11"/>
      <c r="N672" s="11"/>
    </row>
    <row r="673">
      <c r="H673" s="11"/>
      <c r="N673" s="11"/>
    </row>
    <row r="674">
      <c r="H674" s="11"/>
      <c r="N674" s="11"/>
    </row>
    <row r="675">
      <c r="H675" s="11"/>
      <c r="N675" s="11"/>
    </row>
    <row r="676">
      <c r="H676" s="11"/>
      <c r="N676" s="11"/>
    </row>
    <row r="677">
      <c r="H677" s="11"/>
      <c r="N677" s="11"/>
    </row>
    <row r="678">
      <c r="H678" s="11"/>
      <c r="N678" s="11"/>
    </row>
    <row r="679">
      <c r="H679" s="11"/>
      <c r="N679" s="11"/>
    </row>
    <row r="680">
      <c r="H680" s="11"/>
      <c r="N680" s="11"/>
    </row>
    <row r="681">
      <c r="H681" s="11"/>
      <c r="N681" s="11"/>
    </row>
    <row r="682">
      <c r="H682" s="11"/>
      <c r="N682" s="11"/>
    </row>
    <row r="683">
      <c r="H683" s="11"/>
      <c r="N683" s="11"/>
    </row>
    <row r="684">
      <c r="H684" s="11"/>
      <c r="N684" s="11"/>
    </row>
    <row r="685">
      <c r="H685" s="11"/>
      <c r="N685" s="11"/>
    </row>
    <row r="686">
      <c r="H686" s="11"/>
      <c r="N686" s="11"/>
    </row>
    <row r="687">
      <c r="H687" s="11"/>
      <c r="N687" s="11"/>
    </row>
    <row r="688">
      <c r="H688" s="11"/>
      <c r="N688" s="11"/>
    </row>
    <row r="689">
      <c r="H689" s="11"/>
      <c r="N689" s="11"/>
    </row>
    <row r="690">
      <c r="H690" s="11"/>
      <c r="N690" s="11"/>
    </row>
    <row r="691">
      <c r="H691" s="11"/>
      <c r="N691" s="11"/>
    </row>
    <row r="692">
      <c r="H692" s="11"/>
      <c r="N692" s="11"/>
    </row>
    <row r="693">
      <c r="H693" s="11"/>
      <c r="N693" s="11"/>
    </row>
    <row r="694">
      <c r="H694" s="11"/>
      <c r="N694" s="11"/>
    </row>
    <row r="695">
      <c r="H695" s="11"/>
      <c r="N695" s="11"/>
    </row>
    <row r="696">
      <c r="H696" s="11"/>
      <c r="N696" s="11"/>
    </row>
    <row r="697">
      <c r="H697" s="11"/>
      <c r="N697" s="11"/>
    </row>
    <row r="698">
      <c r="H698" s="11"/>
      <c r="N698" s="11"/>
    </row>
    <row r="699">
      <c r="H699" s="11"/>
      <c r="N699" s="11"/>
    </row>
    <row r="700">
      <c r="H700" s="11"/>
      <c r="N700" s="11"/>
    </row>
    <row r="701">
      <c r="H701" s="11"/>
      <c r="N701" s="11"/>
    </row>
    <row r="702">
      <c r="H702" s="11"/>
      <c r="N702" s="11"/>
    </row>
    <row r="703">
      <c r="H703" s="11"/>
      <c r="N703" s="11"/>
    </row>
    <row r="704">
      <c r="H704" s="11"/>
      <c r="N704" s="11"/>
    </row>
    <row r="705">
      <c r="H705" s="11"/>
      <c r="N705" s="11"/>
    </row>
    <row r="706">
      <c r="H706" s="11"/>
      <c r="N706" s="11"/>
    </row>
    <row r="707">
      <c r="H707" s="11"/>
      <c r="N707" s="11"/>
    </row>
    <row r="708">
      <c r="H708" s="11"/>
      <c r="N708" s="11"/>
    </row>
    <row r="709">
      <c r="H709" s="11"/>
      <c r="N709" s="11"/>
    </row>
    <row r="710">
      <c r="H710" s="11"/>
      <c r="N710" s="11"/>
    </row>
    <row r="711">
      <c r="H711" s="11"/>
      <c r="N711" s="11"/>
    </row>
    <row r="712">
      <c r="H712" s="11"/>
      <c r="N712" s="11"/>
    </row>
    <row r="713">
      <c r="H713" s="11"/>
      <c r="N713" s="11"/>
    </row>
    <row r="714">
      <c r="H714" s="11"/>
      <c r="N714" s="11"/>
    </row>
    <row r="715">
      <c r="H715" s="11"/>
      <c r="N715" s="11"/>
    </row>
    <row r="716">
      <c r="H716" s="11"/>
      <c r="N716" s="11"/>
    </row>
    <row r="717">
      <c r="H717" s="11"/>
      <c r="N717" s="11"/>
    </row>
    <row r="718">
      <c r="H718" s="11"/>
      <c r="N718" s="11"/>
    </row>
    <row r="719">
      <c r="H719" s="11"/>
      <c r="N719" s="11"/>
    </row>
    <row r="720">
      <c r="H720" s="11"/>
      <c r="N720" s="11"/>
    </row>
    <row r="721">
      <c r="H721" s="11"/>
      <c r="N721" s="11"/>
    </row>
    <row r="722">
      <c r="H722" s="11"/>
      <c r="N722" s="11"/>
    </row>
    <row r="723">
      <c r="H723" s="11"/>
      <c r="N723" s="11"/>
    </row>
    <row r="724">
      <c r="H724" s="11"/>
      <c r="N724" s="11"/>
    </row>
    <row r="725">
      <c r="H725" s="11"/>
      <c r="N725" s="11"/>
    </row>
    <row r="726">
      <c r="H726" s="11"/>
      <c r="N726" s="11"/>
    </row>
    <row r="727">
      <c r="H727" s="11"/>
      <c r="N727" s="11"/>
    </row>
    <row r="728">
      <c r="H728" s="11"/>
      <c r="N728" s="11"/>
    </row>
    <row r="729">
      <c r="H729" s="11"/>
      <c r="N729" s="11"/>
    </row>
    <row r="730">
      <c r="H730" s="11"/>
      <c r="N730" s="11"/>
    </row>
    <row r="731">
      <c r="H731" s="11"/>
      <c r="N731" s="11"/>
    </row>
    <row r="732">
      <c r="H732" s="11"/>
      <c r="N732" s="11"/>
    </row>
    <row r="733">
      <c r="H733" s="11"/>
      <c r="N733" s="11"/>
    </row>
    <row r="734">
      <c r="H734" s="11"/>
      <c r="N734" s="11"/>
    </row>
    <row r="735">
      <c r="H735" s="11"/>
      <c r="N735" s="11"/>
    </row>
    <row r="736">
      <c r="H736" s="11"/>
      <c r="N736" s="11"/>
    </row>
    <row r="737">
      <c r="H737" s="11"/>
      <c r="N737" s="11"/>
    </row>
    <row r="738">
      <c r="H738" s="11"/>
      <c r="N738" s="11"/>
    </row>
    <row r="739">
      <c r="H739" s="11"/>
      <c r="N739" s="11"/>
    </row>
    <row r="740">
      <c r="H740" s="11"/>
      <c r="N740" s="11"/>
    </row>
    <row r="741">
      <c r="H741" s="11"/>
      <c r="N741" s="11"/>
    </row>
    <row r="742">
      <c r="H742" s="11"/>
      <c r="N742" s="11"/>
    </row>
    <row r="743">
      <c r="H743" s="11"/>
      <c r="N743" s="11"/>
    </row>
    <row r="744">
      <c r="H744" s="11"/>
      <c r="N744" s="11"/>
    </row>
    <row r="745">
      <c r="H745" s="11"/>
      <c r="N745" s="11"/>
    </row>
    <row r="746">
      <c r="H746" s="11"/>
      <c r="N746" s="11"/>
    </row>
    <row r="747">
      <c r="H747" s="11"/>
      <c r="N747" s="11"/>
    </row>
    <row r="748">
      <c r="H748" s="11"/>
      <c r="N748" s="11"/>
    </row>
    <row r="749">
      <c r="H749" s="11"/>
      <c r="N749" s="11"/>
    </row>
    <row r="750">
      <c r="H750" s="11"/>
      <c r="N750" s="11"/>
    </row>
    <row r="751">
      <c r="H751" s="11"/>
      <c r="N751" s="11"/>
    </row>
    <row r="752">
      <c r="H752" s="11"/>
      <c r="N752" s="11"/>
    </row>
    <row r="753">
      <c r="H753" s="11"/>
      <c r="N753" s="11"/>
    </row>
    <row r="754">
      <c r="H754" s="11"/>
      <c r="N754" s="11"/>
    </row>
    <row r="755">
      <c r="H755" s="11"/>
      <c r="N755" s="11"/>
    </row>
    <row r="756">
      <c r="H756" s="11"/>
      <c r="N756" s="11"/>
    </row>
    <row r="757">
      <c r="H757" s="11"/>
      <c r="N757" s="11"/>
    </row>
    <row r="758">
      <c r="H758" s="11"/>
      <c r="N758" s="11"/>
    </row>
    <row r="759">
      <c r="H759" s="11"/>
      <c r="N759" s="11"/>
    </row>
    <row r="760">
      <c r="H760" s="11"/>
      <c r="N760" s="11"/>
    </row>
    <row r="761">
      <c r="H761" s="11"/>
      <c r="N761" s="11"/>
    </row>
    <row r="762">
      <c r="H762" s="11"/>
      <c r="N762" s="11"/>
    </row>
    <row r="763">
      <c r="H763" s="11"/>
      <c r="N763" s="11"/>
    </row>
    <row r="764">
      <c r="H764" s="11"/>
      <c r="N764" s="11"/>
    </row>
    <row r="765">
      <c r="H765" s="11"/>
      <c r="N765" s="11"/>
    </row>
    <row r="766">
      <c r="H766" s="11"/>
      <c r="N766" s="11"/>
    </row>
    <row r="767">
      <c r="H767" s="11"/>
      <c r="N767" s="11"/>
    </row>
    <row r="768">
      <c r="H768" s="11"/>
      <c r="N768" s="11"/>
    </row>
    <row r="769">
      <c r="H769" s="11"/>
      <c r="N769" s="11"/>
    </row>
    <row r="770">
      <c r="H770" s="11"/>
      <c r="N770" s="11"/>
    </row>
    <row r="771">
      <c r="H771" s="11"/>
      <c r="N771" s="11"/>
    </row>
    <row r="772">
      <c r="H772" s="11"/>
      <c r="N772" s="11"/>
    </row>
    <row r="773">
      <c r="H773" s="11"/>
      <c r="N773" s="11"/>
    </row>
    <row r="774">
      <c r="H774" s="11"/>
      <c r="N774" s="11"/>
    </row>
    <row r="775">
      <c r="H775" s="11"/>
      <c r="N775" s="11"/>
    </row>
    <row r="776">
      <c r="H776" s="11"/>
      <c r="N776" s="11"/>
    </row>
    <row r="777">
      <c r="H777" s="11"/>
      <c r="N777" s="11"/>
    </row>
    <row r="778">
      <c r="H778" s="11"/>
      <c r="N778" s="11"/>
    </row>
    <row r="779">
      <c r="H779" s="11"/>
      <c r="N779" s="11"/>
    </row>
    <row r="780">
      <c r="H780" s="11"/>
      <c r="N780" s="11"/>
    </row>
    <row r="781">
      <c r="H781" s="11"/>
      <c r="N781" s="11"/>
    </row>
    <row r="782">
      <c r="H782" s="11"/>
      <c r="N782" s="11"/>
    </row>
    <row r="783">
      <c r="H783" s="11"/>
      <c r="N783" s="11"/>
    </row>
    <row r="784">
      <c r="H784" s="11"/>
      <c r="N784" s="11"/>
    </row>
    <row r="785">
      <c r="H785" s="11"/>
      <c r="N785" s="11"/>
    </row>
    <row r="786">
      <c r="H786" s="11"/>
      <c r="N786" s="11"/>
    </row>
    <row r="787">
      <c r="H787" s="11"/>
      <c r="N787" s="11"/>
    </row>
    <row r="788">
      <c r="H788" s="11"/>
      <c r="N788" s="11"/>
    </row>
    <row r="789">
      <c r="H789" s="11"/>
      <c r="N789" s="11"/>
    </row>
    <row r="790">
      <c r="H790" s="11"/>
      <c r="N790" s="11"/>
    </row>
    <row r="791">
      <c r="H791" s="11"/>
      <c r="N791" s="11"/>
    </row>
    <row r="792">
      <c r="H792" s="11"/>
      <c r="N792" s="11"/>
    </row>
    <row r="793">
      <c r="H793" s="11"/>
      <c r="N793" s="11"/>
    </row>
    <row r="794">
      <c r="H794" s="11"/>
      <c r="N794" s="11"/>
    </row>
    <row r="795">
      <c r="H795" s="11"/>
      <c r="N795" s="11"/>
    </row>
    <row r="796">
      <c r="H796" s="11"/>
      <c r="N796" s="11"/>
    </row>
    <row r="797">
      <c r="H797" s="11"/>
      <c r="N797" s="11"/>
    </row>
    <row r="798">
      <c r="H798" s="11"/>
      <c r="N798" s="11"/>
    </row>
    <row r="799">
      <c r="H799" s="11"/>
      <c r="N799" s="11"/>
    </row>
    <row r="800">
      <c r="H800" s="11"/>
      <c r="N800" s="11"/>
    </row>
    <row r="801">
      <c r="H801" s="11"/>
      <c r="N801" s="11"/>
    </row>
    <row r="802">
      <c r="H802" s="11"/>
      <c r="N802" s="11"/>
    </row>
    <row r="803">
      <c r="H803" s="11"/>
      <c r="N803" s="11"/>
    </row>
    <row r="804">
      <c r="H804" s="11"/>
      <c r="N804" s="11"/>
    </row>
    <row r="805">
      <c r="H805" s="11"/>
      <c r="N805" s="11"/>
    </row>
    <row r="806">
      <c r="H806" s="11"/>
      <c r="N806" s="11"/>
    </row>
    <row r="807">
      <c r="H807" s="11"/>
      <c r="N807" s="11"/>
    </row>
    <row r="808">
      <c r="H808" s="11"/>
      <c r="N808" s="11"/>
    </row>
    <row r="809">
      <c r="H809" s="11"/>
      <c r="N809" s="11"/>
    </row>
    <row r="810">
      <c r="H810" s="11"/>
      <c r="N810" s="11"/>
    </row>
    <row r="811">
      <c r="H811" s="11"/>
      <c r="N811" s="11"/>
    </row>
    <row r="812">
      <c r="H812" s="11"/>
      <c r="N812" s="11"/>
    </row>
    <row r="813">
      <c r="H813" s="11"/>
      <c r="N813" s="11"/>
    </row>
    <row r="814">
      <c r="H814" s="11"/>
      <c r="N814" s="11"/>
    </row>
    <row r="815">
      <c r="H815" s="11"/>
      <c r="N815" s="11"/>
    </row>
    <row r="816">
      <c r="H816" s="11"/>
      <c r="N816" s="11"/>
    </row>
    <row r="817">
      <c r="H817" s="11"/>
      <c r="N817" s="11"/>
    </row>
    <row r="818">
      <c r="H818" s="11"/>
      <c r="N818" s="11"/>
    </row>
    <row r="819">
      <c r="H819" s="11"/>
      <c r="N819" s="11"/>
    </row>
    <row r="820">
      <c r="H820" s="11"/>
      <c r="N820" s="11"/>
    </row>
    <row r="821">
      <c r="H821" s="11"/>
      <c r="N821" s="11"/>
    </row>
    <row r="822">
      <c r="H822" s="11"/>
      <c r="N822" s="11"/>
    </row>
    <row r="823">
      <c r="H823" s="11"/>
      <c r="N823" s="11"/>
    </row>
    <row r="824">
      <c r="H824" s="11"/>
      <c r="N824" s="11"/>
    </row>
    <row r="825">
      <c r="H825" s="11"/>
      <c r="N825" s="11"/>
    </row>
    <row r="826">
      <c r="H826" s="11"/>
      <c r="N826" s="11"/>
    </row>
    <row r="827">
      <c r="H827" s="11"/>
      <c r="N827" s="11"/>
    </row>
    <row r="828">
      <c r="H828" s="11"/>
      <c r="N828" s="11"/>
    </row>
    <row r="829">
      <c r="H829" s="11"/>
      <c r="N829" s="11"/>
    </row>
    <row r="830">
      <c r="H830" s="11"/>
      <c r="N830" s="11"/>
    </row>
    <row r="831">
      <c r="H831" s="11"/>
      <c r="N831" s="11"/>
    </row>
    <row r="832">
      <c r="H832" s="11"/>
      <c r="N832" s="11"/>
    </row>
    <row r="833">
      <c r="H833" s="11"/>
      <c r="N833" s="11"/>
    </row>
    <row r="834">
      <c r="H834" s="11"/>
      <c r="N834" s="11"/>
    </row>
    <row r="835">
      <c r="H835" s="11"/>
      <c r="N835" s="11"/>
    </row>
    <row r="836">
      <c r="H836" s="11"/>
      <c r="N836" s="11"/>
    </row>
    <row r="837">
      <c r="H837" s="11"/>
      <c r="N837" s="11"/>
    </row>
    <row r="838">
      <c r="H838" s="11"/>
      <c r="N838" s="11"/>
    </row>
    <row r="839">
      <c r="H839" s="11"/>
      <c r="N839" s="11"/>
    </row>
    <row r="840">
      <c r="H840" s="11"/>
      <c r="N840" s="11"/>
    </row>
    <row r="841">
      <c r="H841" s="11"/>
      <c r="N841" s="11"/>
    </row>
    <row r="842">
      <c r="H842" s="11"/>
      <c r="N842" s="11"/>
    </row>
    <row r="843">
      <c r="H843" s="11"/>
      <c r="N843" s="11"/>
    </row>
    <row r="844">
      <c r="H844" s="11"/>
      <c r="N844" s="11"/>
    </row>
    <row r="845">
      <c r="H845" s="11"/>
      <c r="N845" s="11"/>
    </row>
    <row r="846">
      <c r="H846" s="11"/>
      <c r="N846" s="11"/>
    </row>
    <row r="847">
      <c r="H847" s="11"/>
      <c r="N847" s="11"/>
    </row>
    <row r="848">
      <c r="H848" s="11"/>
      <c r="N848" s="11"/>
    </row>
    <row r="849">
      <c r="H849" s="11"/>
      <c r="N849" s="11"/>
    </row>
    <row r="850">
      <c r="H850" s="11"/>
      <c r="N850" s="11"/>
    </row>
    <row r="851">
      <c r="H851" s="11"/>
      <c r="N851" s="11"/>
    </row>
    <row r="852">
      <c r="H852" s="11"/>
      <c r="N852" s="11"/>
    </row>
    <row r="853">
      <c r="H853" s="11"/>
      <c r="N853" s="11"/>
    </row>
    <row r="854">
      <c r="H854" s="11"/>
      <c r="N854" s="11"/>
    </row>
    <row r="855">
      <c r="H855" s="11"/>
      <c r="N855" s="11"/>
    </row>
    <row r="856">
      <c r="H856" s="11"/>
      <c r="N856" s="11"/>
    </row>
    <row r="857">
      <c r="H857" s="11"/>
      <c r="N857" s="11"/>
    </row>
    <row r="858">
      <c r="H858" s="11"/>
      <c r="N858" s="11"/>
    </row>
    <row r="859">
      <c r="H859" s="11"/>
      <c r="N859" s="11"/>
    </row>
    <row r="860">
      <c r="H860" s="11"/>
      <c r="N860" s="11"/>
    </row>
    <row r="861">
      <c r="H861" s="11"/>
      <c r="N861" s="11"/>
    </row>
    <row r="862">
      <c r="H862" s="11"/>
      <c r="N862" s="11"/>
    </row>
    <row r="863">
      <c r="H863" s="11"/>
      <c r="N863" s="11"/>
    </row>
    <row r="864">
      <c r="H864" s="11"/>
      <c r="N864" s="11"/>
    </row>
    <row r="865">
      <c r="H865" s="11"/>
      <c r="N865" s="11"/>
    </row>
    <row r="866">
      <c r="H866" s="11"/>
      <c r="N866" s="11"/>
    </row>
    <row r="867">
      <c r="H867" s="11"/>
      <c r="N867" s="11"/>
    </row>
    <row r="868">
      <c r="H868" s="11"/>
      <c r="N868" s="11"/>
    </row>
    <row r="869">
      <c r="H869" s="11"/>
      <c r="N869" s="11"/>
    </row>
    <row r="870">
      <c r="H870" s="11"/>
      <c r="N870" s="11"/>
    </row>
    <row r="871">
      <c r="H871" s="11"/>
      <c r="N871" s="11"/>
    </row>
    <row r="872">
      <c r="H872" s="11"/>
      <c r="N872" s="11"/>
    </row>
    <row r="873">
      <c r="H873" s="11"/>
      <c r="N873" s="11"/>
    </row>
    <row r="874">
      <c r="H874" s="11"/>
      <c r="N874" s="11"/>
    </row>
    <row r="875">
      <c r="H875" s="11"/>
      <c r="N875" s="11"/>
    </row>
    <row r="876">
      <c r="H876" s="11"/>
      <c r="N876" s="11"/>
    </row>
    <row r="877">
      <c r="H877" s="11"/>
      <c r="N877" s="11"/>
    </row>
    <row r="878">
      <c r="H878" s="11"/>
      <c r="N878" s="11"/>
    </row>
    <row r="879">
      <c r="H879" s="11"/>
      <c r="N879" s="11"/>
    </row>
    <row r="880">
      <c r="H880" s="11"/>
      <c r="N880" s="11"/>
    </row>
    <row r="881">
      <c r="H881" s="11"/>
      <c r="N881" s="11"/>
    </row>
    <row r="882">
      <c r="H882" s="11"/>
      <c r="N882" s="11"/>
    </row>
    <row r="883">
      <c r="H883" s="11"/>
      <c r="N883" s="11"/>
    </row>
    <row r="884">
      <c r="H884" s="11"/>
      <c r="N884" s="11"/>
    </row>
    <row r="885">
      <c r="H885" s="11"/>
      <c r="N885" s="11"/>
    </row>
    <row r="886">
      <c r="H886" s="11"/>
      <c r="N886" s="11"/>
    </row>
    <row r="887">
      <c r="H887" s="11"/>
      <c r="N887" s="11"/>
    </row>
    <row r="888">
      <c r="H888" s="11"/>
      <c r="N888" s="11"/>
    </row>
    <row r="889">
      <c r="H889" s="11"/>
      <c r="N889" s="11"/>
    </row>
    <row r="890">
      <c r="H890" s="11"/>
      <c r="N890" s="11"/>
    </row>
    <row r="891">
      <c r="H891" s="11"/>
      <c r="N891" s="11"/>
    </row>
    <row r="892">
      <c r="H892" s="11"/>
      <c r="N892" s="11"/>
    </row>
    <row r="893">
      <c r="H893" s="11"/>
      <c r="N893" s="11"/>
    </row>
    <row r="894">
      <c r="H894" s="11"/>
      <c r="N894" s="11"/>
    </row>
    <row r="895">
      <c r="H895" s="11"/>
      <c r="N895" s="11"/>
    </row>
    <row r="896">
      <c r="H896" s="11"/>
      <c r="N896" s="11"/>
    </row>
    <row r="897">
      <c r="H897" s="11"/>
      <c r="N897" s="11"/>
    </row>
    <row r="898">
      <c r="H898" s="11"/>
      <c r="N898" s="11"/>
    </row>
    <row r="899">
      <c r="H899" s="11"/>
      <c r="N899" s="11"/>
    </row>
    <row r="900">
      <c r="H900" s="11"/>
      <c r="N900" s="11"/>
    </row>
    <row r="901">
      <c r="H901" s="11"/>
      <c r="N901" s="11"/>
    </row>
    <row r="902">
      <c r="H902" s="11"/>
      <c r="N902" s="11"/>
    </row>
    <row r="903">
      <c r="H903" s="11"/>
      <c r="N903" s="11"/>
    </row>
    <row r="904">
      <c r="H904" s="11"/>
      <c r="N904" s="11"/>
    </row>
    <row r="905">
      <c r="H905" s="11"/>
      <c r="N905" s="11"/>
    </row>
    <row r="906">
      <c r="H906" s="11"/>
      <c r="N906" s="11"/>
    </row>
    <row r="907">
      <c r="H907" s="11"/>
      <c r="N907" s="11"/>
    </row>
    <row r="908">
      <c r="H908" s="11"/>
      <c r="N908" s="11"/>
    </row>
    <row r="909">
      <c r="H909" s="11"/>
      <c r="N909" s="11"/>
    </row>
    <row r="910">
      <c r="H910" s="11"/>
      <c r="N910" s="11"/>
    </row>
    <row r="911">
      <c r="H911" s="11"/>
      <c r="N911" s="11"/>
    </row>
    <row r="912">
      <c r="H912" s="11"/>
      <c r="N912" s="11"/>
    </row>
    <row r="913">
      <c r="H913" s="11"/>
      <c r="N913" s="11"/>
    </row>
    <row r="914">
      <c r="H914" s="11"/>
      <c r="N914" s="11"/>
    </row>
    <row r="915">
      <c r="H915" s="11"/>
      <c r="N915" s="11"/>
    </row>
    <row r="916">
      <c r="H916" s="11"/>
      <c r="N916" s="11"/>
    </row>
    <row r="917">
      <c r="H917" s="11"/>
      <c r="N917" s="11"/>
    </row>
    <row r="918">
      <c r="H918" s="11"/>
      <c r="N918" s="11"/>
    </row>
    <row r="919">
      <c r="H919" s="11"/>
      <c r="N919" s="11"/>
    </row>
    <row r="920">
      <c r="H920" s="11"/>
      <c r="N920" s="11"/>
    </row>
    <row r="921">
      <c r="H921" s="11"/>
      <c r="N921" s="11"/>
    </row>
    <row r="922">
      <c r="H922" s="11"/>
      <c r="N922" s="11"/>
    </row>
    <row r="923">
      <c r="H923" s="11"/>
      <c r="N923" s="11"/>
    </row>
    <row r="924">
      <c r="H924" s="11"/>
      <c r="N924" s="11"/>
    </row>
    <row r="925">
      <c r="H925" s="11"/>
      <c r="N925" s="11"/>
    </row>
    <row r="926">
      <c r="H926" s="11"/>
      <c r="N926" s="11"/>
    </row>
    <row r="927">
      <c r="H927" s="11"/>
      <c r="N927" s="11"/>
    </row>
    <row r="928">
      <c r="H928" s="11"/>
      <c r="N928" s="11"/>
    </row>
    <row r="929">
      <c r="H929" s="11"/>
      <c r="N929" s="11"/>
    </row>
    <row r="930">
      <c r="H930" s="11"/>
      <c r="N930" s="11"/>
    </row>
    <row r="931">
      <c r="H931" s="11"/>
      <c r="N931" s="11"/>
    </row>
    <row r="932">
      <c r="H932" s="11"/>
      <c r="N932" s="11"/>
    </row>
    <row r="933">
      <c r="H933" s="11"/>
      <c r="N933" s="11"/>
    </row>
    <row r="934">
      <c r="H934" s="11"/>
      <c r="N934" s="11"/>
    </row>
    <row r="935">
      <c r="H935" s="11"/>
      <c r="N935" s="11"/>
    </row>
    <row r="936">
      <c r="H936" s="11"/>
      <c r="N936" s="11"/>
    </row>
    <row r="937">
      <c r="H937" s="11"/>
      <c r="N937" s="11"/>
    </row>
    <row r="938">
      <c r="H938" s="11"/>
      <c r="N938" s="11"/>
    </row>
    <row r="939">
      <c r="H939" s="11"/>
      <c r="N939" s="11"/>
    </row>
    <row r="940">
      <c r="H940" s="11"/>
      <c r="N940" s="11"/>
    </row>
    <row r="941">
      <c r="H941" s="11"/>
      <c r="N941" s="11"/>
    </row>
    <row r="942">
      <c r="H942" s="11"/>
      <c r="N942" s="11"/>
    </row>
    <row r="943">
      <c r="H943" s="11"/>
      <c r="N943" s="11"/>
    </row>
    <row r="944">
      <c r="H944" s="11"/>
      <c r="N944" s="11"/>
    </row>
    <row r="945">
      <c r="H945" s="11"/>
      <c r="N945" s="11"/>
    </row>
    <row r="946">
      <c r="H946" s="11"/>
      <c r="N946" s="11"/>
    </row>
    <row r="947">
      <c r="H947" s="11"/>
      <c r="N947" s="11"/>
    </row>
    <row r="948">
      <c r="H948" s="11"/>
      <c r="N948" s="11"/>
    </row>
    <row r="949">
      <c r="H949" s="11"/>
      <c r="N949" s="11"/>
    </row>
    <row r="950">
      <c r="H950" s="11"/>
      <c r="N950" s="11"/>
    </row>
    <row r="951">
      <c r="H951" s="11"/>
      <c r="N951" s="11"/>
    </row>
    <row r="952">
      <c r="H952" s="11"/>
      <c r="N952" s="11"/>
    </row>
    <row r="953">
      <c r="H953" s="11"/>
      <c r="N953" s="11"/>
    </row>
    <row r="954">
      <c r="H954" s="11"/>
      <c r="N954" s="11"/>
    </row>
    <row r="955">
      <c r="H955" s="11"/>
      <c r="N955" s="11"/>
    </row>
    <row r="956">
      <c r="H956" s="11"/>
      <c r="N956" s="11"/>
    </row>
    <row r="957">
      <c r="H957" s="11"/>
      <c r="N957" s="11"/>
    </row>
    <row r="958">
      <c r="H958" s="11"/>
      <c r="N958" s="11"/>
    </row>
    <row r="959">
      <c r="H959" s="11"/>
      <c r="N959" s="11"/>
    </row>
    <row r="960">
      <c r="H960" s="11"/>
      <c r="N960" s="11"/>
    </row>
    <row r="961">
      <c r="H961" s="11"/>
      <c r="N961" s="11"/>
    </row>
    <row r="962">
      <c r="H962" s="11"/>
      <c r="N962" s="11"/>
    </row>
    <row r="963">
      <c r="H963" s="11"/>
      <c r="N963" s="11"/>
    </row>
    <row r="964">
      <c r="H964" s="11"/>
      <c r="N964" s="11"/>
    </row>
    <row r="965">
      <c r="H965" s="11"/>
      <c r="N965" s="11"/>
    </row>
    <row r="966">
      <c r="H966" s="11"/>
      <c r="N966" s="11"/>
    </row>
    <row r="967">
      <c r="H967" s="11"/>
      <c r="N967" s="11"/>
    </row>
    <row r="968">
      <c r="H968" s="11"/>
      <c r="N968" s="11"/>
    </row>
    <row r="969">
      <c r="H969" s="11"/>
      <c r="N969" s="11"/>
    </row>
    <row r="970">
      <c r="H970" s="11"/>
      <c r="N970" s="11"/>
    </row>
    <row r="971">
      <c r="H971" s="11"/>
      <c r="N971" s="11"/>
    </row>
    <row r="972">
      <c r="H972" s="11"/>
      <c r="N972" s="11"/>
    </row>
    <row r="973">
      <c r="H973" s="11"/>
      <c r="N973" s="11"/>
    </row>
    <row r="974">
      <c r="H974" s="11"/>
      <c r="N974" s="11"/>
    </row>
    <row r="975">
      <c r="H975" s="11"/>
      <c r="N975" s="11"/>
    </row>
    <row r="976">
      <c r="H976" s="11"/>
      <c r="N976" s="11"/>
    </row>
    <row r="977">
      <c r="H977" s="11"/>
      <c r="N977" s="11"/>
    </row>
    <row r="978">
      <c r="H978" s="11"/>
      <c r="N978" s="11"/>
    </row>
    <row r="979">
      <c r="H979" s="11"/>
      <c r="N979" s="11"/>
    </row>
    <row r="980">
      <c r="H980" s="11"/>
      <c r="N980" s="11"/>
    </row>
    <row r="981">
      <c r="H981" s="11"/>
      <c r="N981" s="11"/>
    </row>
    <row r="982">
      <c r="H982" s="11"/>
      <c r="N982" s="11"/>
    </row>
    <row r="983">
      <c r="H983" s="11"/>
      <c r="N983" s="11"/>
    </row>
    <row r="984">
      <c r="H984" s="11"/>
      <c r="N984" s="11"/>
    </row>
    <row r="985">
      <c r="H985" s="11"/>
      <c r="N985" s="11"/>
    </row>
    <row r="986">
      <c r="H986" s="11"/>
      <c r="N986" s="11"/>
    </row>
    <row r="987">
      <c r="H987" s="11"/>
      <c r="N987" s="11"/>
    </row>
    <row r="988">
      <c r="H988" s="11"/>
      <c r="N988" s="11"/>
    </row>
    <row r="989">
      <c r="H989" s="11"/>
      <c r="N989" s="11"/>
    </row>
    <row r="990">
      <c r="H990" s="11"/>
      <c r="N990" s="11"/>
    </row>
    <row r="991">
      <c r="H991" s="11"/>
      <c r="N991" s="11"/>
    </row>
    <row r="992">
      <c r="H992" s="11"/>
      <c r="N992" s="11"/>
    </row>
    <row r="993">
      <c r="H993" s="11"/>
      <c r="N993" s="11"/>
    </row>
    <row r="994">
      <c r="H994" s="11"/>
      <c r="N994" s="11"/>
    </row>
    <row r="995">
      <c r="H995" s="11"/>
      <c r="N995" s="11"/>
    </row>
    <row r="996">
      <c r="H996" s="11"/>
      <c r="N996" s="11"/>
    </row>
    <row r="997">
      <c r="H997" s="11"/>
      <c r="N997" s="11"/>
    </row>
    <row r="998">
      <c r="H998" s="11"/>
      <c r="N998" s="11"/>
    </row>
    <row r="999">
      <c r="H999" s="11"/>
      <c r="N999" s="11"/>
    </row>
    <row r="1000">
      <c r="H1000" s="11"/>
      <c r="N1000" s="11"/>
    </row>
    <row r="1001">
      <c r="H1001" s="11"/>
      <c r="N1001" s="11"/>
    </row>
    <row r="1002">
      <c r="H1002" s="11"/>
      <c r="N1002" s="11"/>
    </row>
    <row r="1003">
      <c r="H1003" s="11"/>
      <c r="N1003" s="11"/>
    </row>
    <row r="1004">
      <c r="H1004" s="11"/>
      <c r="N1004" s="11"/>
    </row>
    <row r="1005">
      <c r="H1005" s="11"/>
      <c r="N1005" s="11"/>
    </row>
    <row r="1006">
      <c r="H1006" s="11"/>
      <c r="N1006" s="11"/>
    </row>
    <row r="1007">
      <c r="H1007" s="11"/>
      <c r="N1007" s="11"/>
    </row>
    <row r="1008">
      <c r="H1008" s="11"/>
      <c r="N1008" s="11"/>
    </row>
    <row r="1009">
      <c r="H1009" s="11"/>
      <c r="N1009" s="11"/>
    </row>
    <row r="1010">
      <c r="H1010" s="11"/>
      <c r="N1010" s="11"/>
    </row>
    <row r="1011">
      <c r="H1011" s="11"/>
      <c r="N1011" s="11"/>
    </row>
    <row r="1012">
      <c r="H1012" s="11"/>
      <c r="N1012" s="11"/>
    </row>
    <row r="1013">
      <c r="H1013" s="11"/>
      <c r="N1013" s="11"/>
    </row>
    <row r="1014">
      <c r="H1014" s="11"/>
      <c r="N1014" s="11"/>
    </row>
    <row r="1015">
      <c r="H1015" s="11"/>
      <c r="N1015" s="11"/>
    </row>
    <row r="1016">
      <c r="H1016" s="11"/>
      <c r="N1016" s="11"/>
    </row>
    <row r="1017">
      <c r="H1017" s="11"/>
      <c r="N1017" s="11"/>
    </row>
    <row r="1018">
      <c r="H1018" s="11"/>
      <c r="N1018" s="11"/>
    </row>
    <row r="1019">
      <c r="H1019" s="11"/>
      <c r="N1019" s="11"/>
    </row>
    <row r="1020">
      <c r="H1020" s="11"/>
      <c r="N1020" s="11"/>
    </row>
    <row r="1021">
      <c r="H1021" s="11"/>
      <c r="N1021" s="11"/>
    </row>
    <row r="1022">
      <c r="H1022" s="11"/>
      <c r="N1022" s="11"/>
    </row>
    <row r="1023">
      <c r="H1023" s="11"/>
      <c r="N1023" s="11"/>
    </row>
    <row r="1024">
      <c r="H1024" s="11"/>
      <c r="N1024" s="11"/>
    </row>
    <row r="1025">
      <c r="H1025" s="11"/>
      <c r="N1025" s="11"/>
    </row>
    <row r="1026">
      <c r="H1026" s="11"/>
      <c r="N1026" s="11"/>
    </row>
    <row r="1027">
      <c r="H1027" s="11"/>
      <c r="N1027" s="11"/>
    </row>
    <row r="1028">
      <c r="H1028" s="11"/>
      <c r="N1028" s="11"/>
    </row>
    <row r="1029">
      <c r="H1029" s="11"/>
      <c r="N1029" s="11"/>
    </row>
    <row r="1030">
      <c r="H1030" s="11"/>
      <c r="N1030" s="11"/>
    </row>
    <row r="1031">
      <c r="H1031" s="11"/>
      <c r="N1031" s="11"/>
    </row>
    <row r="1032">
      <c r="H1032" s="11"/>
      <c r="N1032" s="11"/>
    </row>
    <row r="1033">
      <c r="H1033" s="11"/>
      <c r="N1033" s="11"/>
    </row>
    <row r="1034">
      <c r="H1034" s="11"/>
      <c r="N1034" s="11"/>
    </row>
    <row r="1035">
      <c r="H1035" s="11"/>
      <c r="N1035" s="11"/>
    </row>
    <row r="1036">
      <c r="H1036" s="11"/>
      <c r="N1036" s="11"/>
    </row>
    <row r="1037">
      <c r="H1037" s="11"/>
      <c r="N1037" s="11"/>
    </row>
    <row r="1038">
      <c r="H1038" s="11"/>
      <c r="N1038" s="11"/>
    </row>
    <row r="1039">
      <c r="H1039" s="11"/>
      <c r="N1039" s="11"/>
    </row>
    <row r="1040">
      <c r="H1040" s="11"/>
      <c r="N1040" s="11"/>
    </row>
    <row r="1041">
      <c r="H1041" s="11"/>
      <c r="N1041" s="11"/>
    </row>
    <row r="1042">
      <c r="H1042" s="11"/>
      <c r="N1042" s="11"/>
    </row>
    <row r="1043">
      <c r="H1043" s="11"/>
      <c r="N1043" s="11"/>
    </row>
    <row r="1044">
      <c r="H1044" s="11"/>
      <c r="N1044" s="11"/>
    </row>
    <row r="1045">
      <c r="H1045" s="11"/>
      <c r="N1045" s="11"/>
    </row>
    <row r="1046">
      <c r="H1046" s="11"/>
      <c r="N1046" s="11"/>
    </row>
    <row r="1047">
      <c r="H1047" s="11"/>
      <c r="N1047" s="11"/>
    </row>
    <row r="1048">
      <c r="H1048" s="11"/>
      <c r="N1048" s="11"/>
    </row>
    <row r="1049">
      <c r="H1049" s="11"/>
      <c r="N1049" s="11"/>
    </row>
    <row r="1050">
      <c r="H1050" s="11"/>
      <c r="N1050" s="11"/>
    </row>
    <row r="1051">
      <c r="H1051" s="11"/>
      <c r="N1051" s="11"/>
    </row>
    <row r="1052">
      <c r="H1052" s="11"/>
      <c r="N1052" s="11"/>
    </row>
    <row r="1053">
      <c r="H1053" s="11"/>
      <c r="N1053" s="11"/>
    </row>
    <row r="1054">
      <c r="H1054" s="11"/>
      <c r="N1054" s="11"/>
    </row>
    <row r="1055">
      <c r="H1055" s="11"/>
      <c r="N1055" s="11"/>
    </row>
    <row r="1056">
      <c r="H1056" s="11"/>
      <c r="N1056" s="11"/>
    </row>
    <row r="1057">
      <c r="H1057" s="11"/>
      <c r="N1057" s="11"/>
    </row>
    <row r="1058">
      <c r="H1058" s="11"/>
      <c r="N1058" s="11"/>
    </row>
    <row r="1059">
      <c r="H1059" s="11"/>
      <c r="N1059" s="11"/>
    </row>
    <row r="1060">
      <c r="H1060" s="11"/>
      <c r="N1060" s="11"/>
    </row>
    <row r="1061">
      <c r="H1061" s="11"/>
      <c r="N1061" s="11"/>
    </row>
    <row r="1062">
      <c r="H1062" s="11"/>
      <c r="N1062" s="11"/>
    </row>
    <row r="1063">
      <c r="H1063" s="11"/>
      <c r="N1063" s="11"/>
    </row>
    <row r="1064">
      <c r="H1064" s="11"/>
      <c r="N1064" s="11"/>
    </row>
    <row r="1065">
      <c r="H1065" s="11"/>
      <c r="N1065" s="11"/>
    </row>
    <row r="1066">
      <c r="H1066" s="11"/>
      <c r="N1066" s="11"/>
    </row>
    <row r="1067">
      <c r="H1067" s="11"/>
      <c r="N1067" s="11"/>
    </row>
    <row r="1068">
      <c r="H1068" s="11"/>
      <c r="N1068" s="11"/>
    </row>
    <row r="1069">
      <c r="H1069" s="11"/>
      <c r="N1069" s="11"/>
    </row>
    <row r="1070">
      <c r="H1070" s="11"/>
      <c r="N1070" s="11"/>
    </row>
    <row r="1071">
      <c r="H1071" s="11"/>
      <c r="N1071" s="11"/>
    </row>
    <row r="1072">
      <c r="H1072" s="11"/>
      <c r="N1072" s="11"/>
    </row>
    <row r="1073">
      <c r="H1073" s="11"/>
      <c r="N1073" s="11"/>
    </row>
    <row r="1074">
      <c r="H1074" s="11"/>
      <c r="N1074" s="11"/>
    </row>
    <row r="1075">
      <c r="H1075" s="11"/>
      <c r="N1075" s="11"/>
    </row>
    <row r="1076">
      <c r="H1076" s="11"/>
      <c r="N1076" s="11"/>
    </row>
    <row r="1077">
      <c r="H1077" s="11"/>
      <c r="N1077" s="11"/>
    </row>
    <row r="1078">
      <c r="H1078" s="11"/>
      <c r="N1078" s="11"/>
    </row>
    <row r="1079">
      <c r="H1079" s="11"/>
      <c r="N1079" s="11"/>
    </row>
    <row r="1080">
      <c r="H1080" s="11"/>
      <c r="N1080" s="11"/>
    </row>
    <row r="1081">
      <c r="H1081" s="11"/>
      <c r="N1081" s="11"/>
    </row>
    <row r="1082">
      <c r="H1082" s="11"/>
      <c r="N1082" s="11"/>
    </row>
    <row r="1083">
      <c r="H1083" s="11"/>
      <c r="N1083" s="11"/>
    </row>
    <row r="1084">
      <c r="H1084" s="11"/>
      <c r="N1084" s="11"/>
    </row>
    <row r="1085">
      <c r="H1085" s="11"/>
      <c r="N1085" s="11"/>
    </row>
    <row r="1086">
      <c r="H1086" s="11"/>
      <c r="N1086" s="11"/>
    </row>
    <row r="1087">
      <c r="H1087" s="11"/>
      <c r="N1087" s="11"/>
    </row>
    <row r="1088">
      <c r="H1088" s="11"/>
      <c r="N1088" s="11"/>
    </row>
    <row r="1089">
      <c r="H1089" s="11"/>
      <c r="N1089" s="11"/>
    </row>
    <row r="1090">
      <c r="H1090" s="11"/>
      <c r="N1090" s="11"/>
    </row>
    <row r="1091">
      <c r="H1091" s="11"/>
      <c r="N1091" s="11"/>
    </row>
    <row r="1092">
      <c r="H1092" s="11"/>
      <c r="N1092" s="11"/>
    </row>
    <row r="1093">
      <c r="H1093" s="11"/>
      <c r="N1093" s="11"/>
    </row>
    <row r="1094">
      <c r="H1094" s="11"/>
      <c r="N1094" s="11"/>
    </row>
    <row r="1095">
      <c r="H1095" s="11"/>
      <c r="N1095" s="11"/>
    </row>
    <row r="1096">
      <c r="H1096" s="11"/>
      <c r="N1096" s="11"/>
    </row>
    <row r="1097">
      <c r="H1097" s="11"/>
      <c r="N1097" s="11"/>
    </row>
    <row r="1098">
      <c r="H1098" s="11"/>
      <c r="N1098" s="11"/>
    </row>
    <row r="1099">
      <c r="H1099" s="11"/>
      <c r="N1099" s="11"/>
    </row>
    <row r="1100">
      <c r="H1100" s="11"/>
      <c r="N1100" s="11"/>
    </row>
    <row r="1101">
      <c r="H1101" s="11"/>
      <c r="N1101" s="11"/>
    </row>
    <row r="1102">
      <c r="H1102" s="11"/>
      <c r="N1102" s="11"/>
    </row>
    <row r="1103">
      <c r="H1103" s="11"/>
      <c r="N1103" s="11"/>
    </row>
    <row r="1104">
      <c r="H1104" s="11"/>
      <c r="N1104" s="11"/>
    </row>
    <row r="1105">
      <c r="H1105" s="11"/>
      <c r="N1105" s="11"/>
    </row>
    <row r="1106">
      <c r="H1106" s="11"/>
      <c r="N1106" s="11"/>
    </row>
    <row r="1107">
      <c r="H1107" s="11"/>
      <c r="N1107" s="11"/>
    </row>
    <row r="1108">
      <c r="H1108" s="11"/>
      <c r="N1108" s="11"/>
    </row>
    <row r="1109">
      <c r="H1109" s="11"/>
      <c r="N1109" s="11"/>
    </row>
    <row r="1110">
      <c r="H1110" s="11"/>
      <c r="N1110" s="11"/>
    </row>
    <row r="1111">
      <c r="H1111" s="11"/>
      <c r="N1111" s="11"/>
    </row>
    <row r="1112">
      <c r="H1112" s="11"/>
      <c r="N1112" s="11"/>
    </row>
    <row r="1113">
      <c r="H1113" s="11"/>
      <c r="N1113" s="11"/>
    </row>
    <row r="1114">
      <c r="H1114" s="11"/>
      <c r="N1114" s="11"/>
    </row>
    <row r="1115">
      <c r="H1115" s="11"/>
      <c r="N1115" s="11"/>
    </row>
    <row r="1116">
      <c r="H1116" s="11"/>
      <c r="N1116" s="11"/>
    </row>
    <row r="1117">
      <c r="H1117" s="11"/>
      <c r="N1117" s="11"/>
    </row>
    <row r="1118">
      <c r="H1118" s="11"/>
      <c r="N1118" s="11"/>
    </row>
    <row r="1119">
      <c r="H1119" s="11"/>
      <c r="N1119" s="11"/>
    </row>
    <row r="1120">
      <c r="H1120" s="11"/>
      <c r="N1120" s="11"/>
    </row>
    <row r="1121">
      <c r="H1121" s="11"/>
      <c r="N1121" s="11"/>
    </row>
    <row r="1122">
      <c r="H1122" s="11"/>
      <c r="N1122" s="11"/>
    </row>
    <row r="1123">
      <c r="H1123" s="11"/>
      <c r="N1123" s="11"/>
    </row>
    <row r="1124">
      <c r="H1124" s="11"/>
      <c r="N1124" s="11"/>
    </row>
    <row r="1125">
      <c r="H1125" s="11"/>
      <c r="N1125" s="11"/>
    </row>
    <row r="1126">
      <c r="H1126" s="11"/>
      <c r="N1126" s="11"/>
    </row>
    <row r="1127">
      <c r="H1127" s="11"/>
      <c r="N1127" s="11"/>
    </row>
    <row r="1128">
      <c r="H1128" s="11"/>
      <c r="N1128" s="11"/>
    </row>
    <row r="1129">
      <c r="H1129" s="11"/>
      <c r="N1129" s="11"/>
    </row>
    <row r="1130">
      <c r="H1130" s="11"/>
      <c r="N1130" s="11"/>
    </row>
    <row r="1131">
      <c r="H1131" s="11"/>
      <c r="N1131" s="11"/>
    </row>
    <row r="1132">
      <c r="H1132" s="11"/>
      <c r="N1132" s="11"/>
    </row>
    <row r="1133">
      <c r="H1133" s="11"/>
      <c r="N1133" s="11"/>
    </row>
    <row r="1134">
      <c r="H1134" s="11"/>
      <c r="N1134" s="11"/>
    </row>
    <row r="1135">
      <c r="H1135" s="11"/>
      <c r="N1135" s="11"/>
    </row>
    <row r="1136">
      <c r="H1136" s="11"/>
      <c r="N1136" s="11"/>
    </row>
    <row r="1137">
      <c r="H1137" s="11"/>
      <c r="N1137" s="11"/>
    </row>
    <row r="1138">
      <c r="H1138" s="11"/>
      <c r="N1138" s="11"/>
    </row>
    <row r="1139">
      <c r="H1139" s="11"/>
      <c r="N1139" s="11"/>
    </row>
    <row r="1140">
      <c r="H1140" s="11"/>
      <c r="N1140" s="11"/>
    </row>
    <row r="1141">
      <c r="H1141" s="11"/>
      <c r="N1141" s="11"/>
    </row>
    <row r="1142">
      <c r="H1142" s="11"/>
      <c r="N1142" s="11"/>
    </row>
    <row r="1143">
      <c r="H1143" s="11"/>
      <c r="N1143" s="11"/>
    </row>
    <row r="1144">
      <c r="H1144" s="11"/>
      <c r="N1144" s="11"/>
    </row>
    <row r="1145">
      <c r="H1145" s="11"/>
      <c r="N1145" s="11"/>
    </row>
    <row r="1146">
      <c r="H1146" s="11"/>
      <c r="N1146" s="11"/>
    </row>
    <row r="1147">
      <c r="H1147" s="11"/>
      <c r="N1147" s="11"/>
    </row>
    <row r="1148">
      <c r="H1148" s="11"/>
      <c r="N1148" s="11"/>
    </row>
    <row r="1149">
      <c r="H1149" s="11"/>
      <c r="N1149" s="11"/>
    </row>
    <row r="1150">
      <c r="H1150" s="11"/>
      <c r="N1150" s="11"/>
    </row>
    <row r="1151">
      <c r="H1151" s="11"/>
      <c r="N1151" s="11"/>
    </row>
    <row r="1152">
      <c r="H1152" s="11"/>
      <c r="N1152" s="11"/>
    </row>
    <row r="1153">
      <c r="H1153" s="11"/>
      <c r="N1153" s="11"/>
    </row>
    <row r="1154">
      <c r="H1154" s="11"/>
      <c r="N1154" s="11"/>
    </row>
    <row r="1155">
      <c r="H1155" s="11"/>
      <c r="N1155" s="11"/>
    </row>
    <row r="1156">
      <c r="H1156" s="11"/>
      <c r="N1156" s="11"/>
    </row>
    <row r="1157">
      <c r="H1157" s="11"/>
      <c r="N1157" s="11"/>
    </row>
    <row r="1158">
      <c r="H1158" s="11"/>
      <c r="N1158" s="11"/>
    </row>
    <row r="1159">
      <c r="H1159" s="11"/>
      <c r="N1159" s="11"/>
    </row>
    <row r="1160">
      <c r="H1160" s="11"/>
      <c r="N1160" s="11"/>
    </row>
    <row r="1161">
      <c r="H1161" s="11"/>
      <c r="N1161" s="11"/>
    </row>
    <row r="1162">
      <c r="H1162" s="11"/>
      <c r="N1162" s="11"/>
    </row>
    <row r="1163">
      <c r="H1163" s="11"/>
      <c r="N1163" s="11"/>
    </row>
    <row r="1164">
      <c r="H1164" s="11"/>
      <c r="N1164" s="11"/>
    </row>
    <row r="1165">
      <c r="H1165" s="11"/>
      <c r="N1165" s="11"/>
    </row>
    <row r="1166">
      <c r="H1166" s="11"/>
      <c r="N1166" s="11"/>
    </row>
    <row r="1167">
      <c r="H1167" s="11"/>
      <c r="N1167" s="11"/>
    </row>
    <row r="1168">
      <c r="H1168" s="11"/>
      <c r="N1168" s="11"/>
    </row>
    <row r="1169">
      <c r="H1169" s="11"/>
      <c r="N1169" s="11"/>
    </row>
    <row r="1170">
      <c r="H1170" s="11"/>
      <c r="N1170" s="11"/>
    </row>
    <row r="1171">
      <c r="H1171" s="11"/>
      <c r="N1171" s="11"/>
    </row>
    <row r="1172">
      <c r="H1172" s="11"/>
      <c r="N1172" s="11"/>
    </row>
    <row r="1173">
      <c r="H1173" s="11"/>
      <c r="N1173" s="11"/>
    </row>
    <row r="1174">
      <c r="H1174" s="11"/>
      <c r="N1174" s="11"/>
    </row>
    <row r="1175">
      <c r="H1175" s="11"/>
      <c r="N1175" s="11"/>
    </row>
    <row r="1176">
      <c r="H1176" s="11"/>
      <c r="N1176" s="11"/>
    </row>
    <row r="1177">
      <c r="H1177" s="11"/>
      <c r="N1177" s="11"/>
    </row>
    <row r="1178">
      <c r="H1178" s="11"/>
      <c r="N1178" s="11"/>
    </row>
    <row r="1179">
      <c r="H1179" s="11"/>
      <c r="N1179" s="11"/>
    </row>
    <row r="1180">
      <c r="H1180" s="11"/>
      <c r="N1180" s="11"/>
    </row>
    <row r="1181">
      <c r="H1181" s="11"/>
      <c r="N1181" s="11"/>
    </row>
    <row r="1182">
      <c r="H1182" s="11"/>
      <c r="N1182" s="11"/>
    </row>
    <row r="1183">
      <c r="H1183" s="11"/>
      <c r="N1183" s="11"/>
    </row>
    <row r="1184">
      <c r="H1184" s="11"/>
      <c r="N1184" s="11"/>
    </row>
    <row r="1185">
      <c r="H1185" s="11"/>
      <c r="N1185" s="11"/>
    </row>
    <row r="1186">
      <c r="H1186" s="11"/>
      <c r="N1186" s="11"/>
    </row>
    <row r="1187">
      <c r="H1187" s="11"/>
      <c r="N1187" s="11"/>
    </row>
    <row r="1188">
      <c r="H1188" s="11"/>
      <c r="N1188" s="11"/>
    </row>
    <row r="1189">
      <c r="H1189" s="11"/>
      <c r="N1189" s="11"/>
    </row>
    <row r="1190">
      <c r="H1190" s="11"/>
      <c r="N1190" s="11"/>
    </row>
    <row r="1191">
      <c r="H1191" s="11"/>
      <c r="N1191" s="11"/>
    </row>
    <row r="1192">
      <c r="H1192" s="11"/>
      <c r="N1192" s="11"/>
    </row>
    <row r="1193">
      <c r="H1193" s="11"/>
      <c r="N1193" s="11"/>
    </row>
    <row r="1194">
      <c r="H1194" s="11"/>
      <c r="N1194" s="11"/>
    </row>
    <row r="1195">
      <c r="H1195" s="11"/>
      <c r="N1195" s="11"/>
    </row>
    <row r="1196">
      <c r="H1196" s="11"/>
      <c r="N1196" s="11"/>
    </row>
    <row r="1197">
      <c r="H1197" s="11"/>
      <c r="N1197" s="11"/>
    </row>
  </sheetData>
  <autoFilter ref="$H$1:$H$119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